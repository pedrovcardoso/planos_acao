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sefazmg-my.sharepoint.com/personal/pedro_cardoso_fazenda_mg_gov_br/Documents/Documentos/planos_acao/assets/data/arquivos iniciais/"/>
    </mc:Choice>
  </mc:AlternateContent>
  <xr:revisionPtr revIDLastSave="100" documentId="13_ncr:1_{69513B2A-EE5C-4A36-8E3B-1467DC515C3F}" xr6:coauthVersionLast="47" xr6:coauthVersionMax="47" xr10:uidLastSave="{F86F53FC-92F1-4539-814C-926937B0A974}"/>
  <bookViews>
    <workbookView xWindow="-120" yWindow="-120" windowWidth="21840" windowHeight="13020" activeTab="1" xr2:uid="{5BB4AC83-9D6B-480E-8FED-FAB5CAEA0A57}"/>
  </bookViews>
  <sheets>
    <sheet name="HTMLTemplate" sheetId="2" r:id="rId1"/>
    <sheet name="Consolidado" sheetId="1" r:id="rId2"/>
    <sheet name="Planos de ação" sheetId="13" r:id="rId3"/>
    <sheet name="Contábil Renuncia" sheetId="7" state="hidden" r:id="rId4"/>
    <sheet name="Precatórios" sheetId="6" state="hidden" r:id="rId5"/>
    <sheet name="Restos a Pagar" sheetId="4" state="hidden" r:id="rId6"/>
    <sheet name="GT Imobilizado" sheetId="12" state="hidden" r:id="rId7"/>
    <sheet name="GT Intangível" sheetId="9" state="hidden" r:id="rId8"/>
    <sheet name="Dívida Ativa" sheetId="5" state="hidden" r:id="rId9"/>
  </sheets>
  <definedNames>
    <definedName name="_xlnm._FilterDatabase" localSheetId="8" hidden="1">'Dívida Ativa'!$A$3:$I$3</definedName>
    <definedName name="_xlnm.Print_Area" localSheetId="3">'Contábil Renuncia'!$B$1:$I$26</definedName>
    <definedName name="DadosExternos_1" localSheetId="7" hidden="1">'GT Intangível'!$A$1:$F$18</definedName>
    <definedName name="DadosExternos_2" localSheetId="6" hidden="1">'GT Imobilizado'!$A$1:$F$7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7" l="1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F01EF4-5929-491D-AD83-C803DBE46589}" keepAlive="1" name="Consulta - Table001 (Page 4)" description="Conexão com a consulta 'Table001 (Page 4)' na pasta de trabalho." type="5" refreshedVersion="8" background="1" saveData="1">
    <dbPr connection="Provider=Microsoft.Mashup.OleDb.1;Data Source=$Workbook$;Location=&quot;Table001 (Page 4)&quot;;Extended Properties=&quot;&quot;" command="SELECT * FROM [Table001 (Page 4)]"/>
  </connection>
  <connection id="2" xr16:uid="{3002B074-4BFD-44D6-9546-1FCAC7CF1312}" keepAlive="1" name="Consulta - Table002 (Page 2)" description="Conexão com a consulta 'Table002 (Page 2)' na pasta de trabalho." type="5" refreshedVersion="8" background="1" saveData="1">
    <dbPr connection="Provider=Microsoft.Mashup.OleDb.1;Data Source=$Workbook$;Location=&quot;Table002 (Page 2)&quot;;Extended Properties=&quot;&quot;" command="SELECT * FROM [Table002 (Page 2)]"/>
  </connection>
  <connection id="3" xr16:uid="{37F1D8D5-715D-475E-A846-0B27EFAEB295}" keepAlive="1" name="Consulta - Table003 (Page 3)" description="Conexão com a consulta 'Table003 (Page 3)' na pasta de trabalho." type="5" refreshedVersion="0" background="1">
    <dbPr connection="Provider=Microsoft.Mashup.OleDb.1;Data Source=$Workbook$;Location=&quot;Table003 (Page 3)&quot;;Extended Properties=&quot;&quot;" command="SELECT * FROM [Table003 (Page 3)]"/>
  </connection>
  <connection id="4" xr16:uid="{03194D8F-6FD3-432A-A72A-A76179BC22F1}" keepAlive="1" name="Consulta - Table004 (Page 4)" description="Conexão com a consulta 'Table004 (Page 4)' na pasta de trabalho." type="5" refreshedVersion="0" background="1">
    <dbPr connection="Provider=Microsoft.Mashup.OleDb.1;Data Source=$Workbook$;Location=&quot;Table004 (Page 4)&quot;;Extended Properties=&quot;&quot;" command="SELECT * FROM [Table004 (Page 4)]"/>
  </connection>
</connections>
</file>

<file path=xl/sharedStrings.xml><?xml version="1.0" encoding="utf-8"?>
<sst xmlns="http://schemas.openxmlformats.org/spreadsheetml/2006/main" count="1111" uniqueCount="408">
  <si>
    <t>Plano de ação</t>
  </si>
  <si>
    <t>Número da atividade</t>
  </si>
  <si>
    <t>Atividade</t>
  </si>
  <si>
    <t>Status</t>
  </si>
  <si>
    <t>Responsável</t>
  </si>
  <si>
    <t>Unidades envolvidas</t>
  </si>
  <si>
    <t>Data de início</t>
  </si>
  <si>
    <t>Data fim</t>
  </si>
  <si>
    <t>Observações</t>
  </si>
  <si>
    <t>Concluído</t>
  </si>
  <si>
    <t>Dívida Ativa</t>
  </si>
  <si>
    <t>Lançamento da Dívida Ativa</t>
  </si>
  <si>
    <t>-</t>
  </si>
  <si>
    <t>1.1</t>
  </si>
  <si>
    <t xml:space="preserve">Detalhar a natureza da dívida ativa em Tributária e Não Tributária para alteração do Relatório RFIAK110 </t>
  </si>
  <si>
    <t>1.2</t>
  </si>
  <si>
    <t xml:space="preserve">Criar novo Relatório RFIAK110 </t>
  </si>
  <si>
    <t>1.3</t>
  </si>
  <si>
    <t xml:space="preserve">Orientar os outros órgãos gestores da dívida ativa  sobre os novos parâmetros contidos no Relatório    </t>
  </si>
  <si>
    <t>Registro da Fase Administrativa e do Controle de Legalidade</t>
  </si>
  <si>
    <t>2.1</t>
  </si>
  <si>
    <t>Criar o Relatório para a Fase Administrativa e Controle de Legalidade</t>
  </si>
  <si>
    <t>2.2</t>
  </si>
  <si>
    <t xml:space="preserve">Orientar os outros órgãos gestores da dívida ativa  sobre a forma de lançamento do estoque da dívida ativa do longo prazo para o curto prazo  </t>
  </si>
  <si>
    <t>Nova metodologia do cálculo do Ajuste para Perdas da Dívida Ativa</t>
  </si>
  <si>
    <t>4.1</t>
  </si>
  <si>
    <t>Realizar estudos para definição de nova metodologia do cálculo do Ajuste para Perdas da Dívida Ativa</t>
  </si>
  <si>
    <t>4.2</t>
  </si>
  <si>
    <t xml:space="preserve">Orientar os outros órgãos gestores da dívida ativa  sobre nova metodologia do cálculo do Ajuste para Perdas da Dívida Ativa  </t>
  </si>
  <si>
    <t>4.3</t>
  </si>
  <si>
    <t>Ajustar o saldo da conta contábil da Provisão para Perdas da Dívida Ativa, conforme nova metodologia</t>
  </si>
  <si>
    <t>Revisar as contas contábeis e seus registros nas respectivas contas</t>
  </si>
  <si>
    <t>Revisar os Relatórios da Cessão Carteira MGI</t>
  </si>
  <si>
    <t>Precatórios</t>
  </si>
  <si>
    <t>Conferir planilha do TJMG com extratos bancários e outros dados para conciliação bancária e conferência dos pagamentos efetivos e/ou recursos transferidos para a Reserva e outros Casos</t>
  </si>
  <si>
    <t>Em curso</t>
  </si>
  <si>
    <t>Registro de novas receitas - Rendimentos</t>
  </si>
  <si>
    <t>Implementado</t>
  </si>
  <si>
    <t>Revisão da disponibilização das informações dos extratos bancários junto ao Banco do Brasil</t>
  </si>
  <si>
    <t>Conciliação bancária da conta especial</t>
  </si>
  <si>
    <t>A iniciar</t>
  </si>
  <si>
    <t>1.4</t>
  </si>
  <si>
    <t>Revisão da disponibilização das informações detalhadas do álvaras de pagamento pelo TJMG, encaminhando planilha de controle para a AGE</t>
  </si>
  <si>
    <t>1.5</t>
  </si>
  <si>
    <t>Piloto, para definição de modelo e prazo com a AGE e precatórios do TJMG, para conferência dos pagamentos efetivos e/ou recursos transferidos para a Reserva e outros Casos e seus registros contábeis</t>
  </si>
  <si>
    <t>1.6</t>
  </si>
  <si>
    <t>Circularizar às entidades da Administração Indireta sobre o modelo e prazos definidos</t>
  </si>
  <si>
    <t>1.7</t>
  </si>
  <si>
    <t>Conferência dos pagamentos efetivos e/ou recursos transferidos para a Reserva e outros Casos e seus registro contábeis pela Adminsitração Indireta</t>
  </si>
  <si>
    <t>Verificar como baixar do Longo Prazo e redução do Ativo os recursos transferidos para os 5 casos (reserva e demais):</t>
  </si>
  <si>
    <t>Definição de novos fluxos de registros para os casos de reserva, que contempla suas quatro variações (reservado, penhora, execução vara de sucessões e execução vara de família) e da compensação de precatório, objetivando retratar o processo com tempestividade na contabilidade do Estado, o que resultará na regularização do longo prazo.</t>
  </si>
  <si>
    <t>Finalizado</t>
  </si>
  <si>
    <t>Circularização dos Entidades da Administração Indireta dos novos fluxos</t>
  </si>
  <si>
    <t>2.3</t>
  </si>
  <si>
    <t>Realizar a validação entre os dados dos precatórios cadastrados no TJMG, e nos órgãos e entidades estaduais que estão contabilizados no passivo de longo prazo com base no Relatórios de precatorios aberto, de 10/06/2025.</t>
  </si>
  <si>
    <t>Baixar tempestivamente toda saída financeira (empenhar os efetivamente pagos e registrar o lançamento definido no item 2)</t>
  </si>
  <si>
    <t>3.1</t>
  </si>
  <si>
    <t>Registro do novo fluxo de registro do processo, retratando o fato gerador do desembolso financeiro no momento de sua ocorrência, o que será operacionalizado pela AGE  - exercício corrente</t>
  </si>
  <si>
    <t>3.2</t>
  </si>
  <si>
    <t>Registro do novo fluxo de registro do processo, retratando o fato gerador do desembolso financeiro no momento de sua ocorrência, o que será operacionalizado entidades da Administração Indireta. - a partir de 2026</t>
  </si>
  <si>
    <t>Criar uma data de Corte para realização do item 3 (expectativa da baixa ser realizada utilizando-se como data base o exercício de 2024) :</t>
  </si>
  <si>
    <t>Baixa de precatório com base no extrato do TJMG. A partir do exercício de 2024 Administração Direta.</t>
  </si>
  <si>
    <t>Baixa de precatório com base no extrato do TJMG. A partir do exercício de 2024 Administração Indireta.</t>
  </si>
  <si>
    <t>Elaborar estudo para regularização do legado (anterior ao corte de 2024):</t>
  </si>
  <si>
    <t>5.1</t>
  </si>
  <si>
    <t>Baixa de precatório com base no extrato do TJMG. De 2014 a 2023.</t>
  </si>
  <si>
    <t>5.2</t>
  </si>
  <si>
    <t>Baixa de precatório com base no extrato do TJMG. De 2004 a 2013.</t>
  </si>
  <si>
    <t>5.3</t>
  </si>
  <si>
    <t>Baixa de precatório com base no extrato do TJMG. Saldo residual anterior a 2004, caso seja identificado.</t>
  </si>
  <si>
    <t>Revisar e atualizar o Passivo de Longo Prazo (revisar os precatórios inscritos)</t>
  </si>
  <si>
    <t>6.1</t>
  </si>
  <si>
    <t>Emissão do Relatórios de precatorios aberto, de junho/2027 disponibilizadno a ACCG.</t>
  </si>
  <si>
    <t>6.2</t>
  </si>
  <si>
    <t>Identificação do saldo residual após as baixas pela AGE e Adminsitração indireta.</t>
  </si>
  <si>
    <t>6.3</t>
  </si>
  <si>
    <t>Regularização do saldo residual, em caso de identificação</t>
  </si>
  <si>
    <t>6.4</t>
  </si>
  <si>
    <t>Inclusão de nota explciativa no Balanço Geral do Estado</t>
  </si>
  <si>
    <t>Normatização dos procedimentos definido pelo GT</t>
  </si>
  <si>
    <t>Elaboração de Nota Explicativa contextualizando a especificidade do processo de levantamento dos dados e valores das renúncias de receitas tributárias</t>
  </si>
  <si>
    <t>Simulação da evidenciação contábil das renúncias de receitas tributárias de 2024</t>
  </si>
  <si>
    <t>Definir as estrutura das contas para a evidenciação das renuncias de receitas tributárias 2024</t>
  </si>
  <si>
    <t>Enviar à SCCG os dados e valores dos benefícios tributários informados na LOA 2024</t>
  </si>
  <si>
    <t>Enviar à SCCG os dados dos benefícios tributários informados na Prestação de Contas 2024</t>
  </si>
  <si>
    <t>2..4</t>
  </si>
  <si>
    <t>Adaptar o plano de contas para incluir as contas de controle específicas referentes a benefícios tributários de receita</t>
  </si>
  <si>
    <t>2.5</t>
  </si>
  <si>
    <t>Simulação da evidenciação contábil dos benefícios tributários (teste) 2024</t>
  </si>
  <si>
    <t>2.6</t>
  </si>
  <si>
    <t>Avaliação da simulação contábil das Renúncias Tributárias de 2024</t>
  </si>
  <si>
    <t>Evidenciação contábil das renúncias de 2025</t>
  </si>
  <si>
    <t>Benefícios tributários a conceder em  2025</t>
  </si>
  <si>
    <t>3.1.1</t>
  </si>
  <si>
    <t>Enviar para a SCCG dados/valores dos benefícios tributários informados na LOA 2025</t>
  </si>
  <si>
    <t>3.2.2</t>
  </si>
  <si>
    <t xml:space="preserve">Lançamento da evidenciação contábil </t>
  </si>
  <si>
    <t>Benefícios tributários concedidos em 2025</t>
  </si>
  <si>
    <t>3.2.1</t>
  </si>
  <si>
    <t>Levantamento dos dados para a aferição dos valores dos benefícios tributários concedidos - renuncias efetivadas</t>
  </si>
  <si>
    <t>3.2.2.1</t>
  </si>
  <si>
    <t>Legislação e parecer técnico.</t>
  </si>
  <si>
    <t>3.2.2.2</t>
  </si>
  <si>
    <t>Regimes especiais pré-existentes.</t>
  </si>
  <si>
    <t>3.2.2.3</t>
  </si>
  <si>
    <t>Regimes especiais novos</t>
  </si>
  <si>
    <t>3.2.2.4</t>
  </si>
  <si>
    <t>Renúncias de anistia e remissões.</t>
  </si>
  <si>
    <t>3.2.2.5</t>
  </si>
  <si>
    <t>Disponibilizar as informações fiscais</t>
  </si>
  <si>
    <t>3.2.2.6</t>
  </si>
  <si>
    <t>Renúncias de isenção de ICMS de veículos e crédito presumido das prestadoras de transportes coletivos</t>
  </si>
  <si>
    <t>3.2.2.7</t>
  </si>
  <si>
    <t>Renúncias de IPVA</t>
  </si>
  <si>
    <t>3.3</t>
  </si>
  <si>
    <t xml:space="preserve">Apuração dos valores renunciados </t>
  </si>
  <si>
    <t>3.4</t>
  </si>
  <si>
    <t xml:space="preserve">Aprovação dos valores </t>
  </si>
  <si>
    <t>3.5</t>
  </si>
  <si>
    <t xml:space="preserve">Lançamento contábil </t>
  </si>
  <si>
    <t>3.6</t>
  </si>
  <si>
    <t xml:space="preserve">Avaliação do registro contábil para definição de correções e sequência do processo de implementação na SEF </t>
  </si>
  <si>
    <t>Solicitar aos órgãos e entidades a certificação/regularização de Restos a Pagar Processados e Restos a Pagar não Processados</t>
  </si>
  <si>
    <t>Reiterar solicitação para os órgãos e entidades em atraso</t>
  </si>
  <si>
    <t>Não iniciado</t>
  </si>
  <si>
    <t>Elaborar relatório técnico que contemple, minimamente, o rol de RPs cancelados, por órgão, com a indicação dos valores; bem como o levantamento dos RPs subsistentes e a justificativa para manutenção</t>
  </si>
  <si>
    <t>Solicitar aos órgãos e entidades o encaminhamento de Plano de Ação para a regularização e saneamento dos RPs considerados subsistentes</t>
  </si>
  <si>
    <t>Adequar a programação financeira e o fluxo de caixa do exercício</t>
  </si>
  <si>
    <t xml:space="preserve">Incluir no decreto de encerramento do exercício as diretrizes para o cancelamento de empenhos e liquidações insubisistentes, assim como definir critérios para o cancelamento dos restos a pagar </t>
  </si>
  <si>
    <t>SAIF</t>
  </si>
  <si>
    <t>STI/SUCRED</t>
  </si>
  <si>
    <t>SCAF</t>
  </si>
  <si>
    <t xml:space="preserve">SCAF </t>
  </si>
  <si>
    <t>SCAF/SCCG</t>
  </si>
  <si>
    <t>STI/SUCRED/SCAF</t>
  </si>
  <si>
    <t>SEF, AGE, TJMG</t>
  </si>
  <si>
    <t>SEF/SCAF</t>
  </si>
  <si>
    <t>TJMG e AGE/PTPT</t>
  </si>
  <si>
    <t>AGE/PTPT</t>
  </si>
  <si>
    <t xml:space="preserve">AGE/PTPT e Administração Indireta </t>
  </si>
  <si>
    <t>SEF, AGE e TJMG</t>
  </si>
  <si>
    <t>SEF/SCCG</t>
  </si>
  <si>
    <t xml:space="preserve">AGE/PTPT </t>
  </si>
  <si>
    <t>AGE/PTPT e Adm. Indireta</t>
  </si>
  <si>
    <t>SEF/SCCG e TJMG</t>
  </si>
  <si>
    <t xml:space="preserve">TJMG  </t>
  </si>
  <si>
    <t>Amorim/Kalil</t>
  </si>
  <si>
    <t>SAIF/SUTRI</t>
  </si>
  <si>
    <t>Amorim/Denis</t>
  </si>
  <si>
    <t>SAIF/SCCG</t>
  </si>
  <si>
    <t>Amorim/Nilson</t>
  </si>
  <si>
    <t>Amorim</t>
  </si>
  <si>
    <t>Nilson</t>
  </si>
  <si>
    <t>Tania</t>
  </si>
  <si>
    <t>SAIF/
Unidades Demandantes</t>
  </si>
  <si>
    <t>Kalil</t>
  </si>
  <si>
    <t>SUTRI</t>
  </si>
  <si>
    <t xml:space="preserve">Wilton </t>
  </si>
  <si>
    <t>Andrea</t>
  </si>
  <si>
    <t>Leo Guerra</t>
  </si>
  <si>
    <t>SUCRED</t>
  </si>
  <si>
    <t>STI</t>
  </si>
  <si>
    <t>Ricardo Desotti</t>
  </si>
  <si>
    <t>SUFIS</t>
  </si>
  <si>
    <t>Gualter</t>
  </si>
  <si>
    <t>SAIF/DIEF/DGA</t>
  </si>
  <si>
    <t>Leônidas/Marcelo
Osvaldo</t>
  </si>
  <si>
    <t>SAIF/SUTRI/SRE</t>
  </si>
  <si>
    <t xml:space="preserve">Denis/Nilson/
Leônidas/Amorim </t>
  </si>
  <si>
    <t>Segregação do relatório em Tributário e Não tributário.</t>
  </si>
  <si>
    <t>Detalhamento por código de receita. Todos os dados são apenas tributários.</t>
  </si>
  <si>
    <t>Avaliar se a metodologia será mensal ou anual.</t>
  </si>
  <si>
    <t>Processo contínuo</t>
  </si>
  <si>
    <t>Processo contínuo, após vencida a etapa de implantação como piloto.</t>
  </si>
  <si>
    <t>Processo contínuo, após vencida a etapa de implantação nos órgãos.</t>
  </si>
  <si>
    <t>Prazo prorrogado conforme Despacho 840, Documento n.º 118171326</t>
  </si>
  <si>
    <t>A simulação da evidenciação contábil das renúncias de receitas prevista e efetivada no exercício de 2024 tem por finalidade a avaliação, analise e correções para a implementação do processo.</t>
  </si>
  <si>
    <t xml:space="preserve">Definido a apresentação por tipo e modalidade de tributo (ICMS, IPVA, anistia, remissão, crédito presumido... para as Novas Renúncias e Renuncias Pré-Existentes, tendo como referências o modelo/formato apresentado pela SEF ao TCE/MG e Instrução de Procedimentos Contábeis 16 (IPC 16), editada pela STN.
Documento nº 116455510 anexado ao processo SEI nº 1190.01.0007622/2025-56, estrutura das renúncias. </t>
  </si>
  <si>
    <t>Documento nº 116455979, SEI nº 1190.01.0007622/2025-56, renúncias-a conceder, informadas na LOA 2024.</t>
  </si>
  <si>
    <t>Documento nº 116455979, SEI nº 1190.01.0007622/2025-56, renúncias concedidas, informadas na Prestação de Contas 2024.</t>
  </si>
  <si>
    <t>Plano de contas adaptado, conforme documento 116455510</t>
  </si>
  <si>
    <t xml:space="preserve">Simulação efetuada conforme documento 116455979 </t>
  </si>
  <si>
    <t>Definido que o prazo para envio dos dados dos benefícios tributários a conceder será de até 30 após a pulbicação da LOA.</t>
  </si>
  <si>
    <t xml:space="preserve">Documento nº 116951774, SEI nº 1190.01.0007622/2025-56, renuncias a conceder, informadas na LOA 2025. </t>
  </si>
  <si>
    <t xml:space="preserve">Definido que o prazo para envio dos dados dos benefícios tributários concedidos será de até o ultimo dia util de fevereiro. </t>
  </si>
  <si>
    <t>Encaminhado o Ofício Circular Conjunto SEF/STE-SCAF-SCCG nº 2/2025 (114656932). Prazo para atendimento: 30/07/2025.</t>
  </si>
  <si>
    <t>O estudo elaborado será encaminhado para apreciação do TCE para fins de encerramento da D27 (2021), D3 (2021) e parte da R3 (2021).</t>
  </si>
  <si>
    <t>Os planos de ação completarão o atendimento da R3 (2021).</t>
  </si>
  <si>
    <t>A adequação da programação financeira e do fluxo de caixa do exercício atenderá o R24 (2020).</t>
  </si>
  <si>
    <t>A depender dos resultados verificados com a iniciativa, é possível que as orientações sejam incluídas no decreto de encerramento do exercício.</t>
  </si>
  <si>
    <t>HTML</t>
  </si>
  <si>
    <t>CSS</t>
  </si>
  <si>
    <t>JS</t>
  </si>
  <si>
    <t>PP</t>
  </si>
  <si>
    <t>Item</t>
  </si>
  <si>
    <t>Determinações e Recomendações</t>
  </si>
  <si>
    <t>R24</t>
  </si>
  <si>
    <t>Recomendar que adeque seu planejamento financeiro à arrecadação factível e às obrigações já assumidas de forma que faça cessar o crescente estoque de restos a pagar e a dívida flutuante do estado</t>
  </si>
  <si>
    <t>2020
2021</t>
  </si>
  <si>
    <t>D27
D3</t>
  </si>
  <si>
    <t>Determinar que seja apresentado, no prazo de 180 (cento e oitenta) dias a partir da publicação do parecer prévio, levantamento acerca da natureza dos créditos inscritos em restos a pagar e dos motivos que impedem a conclusão do estágio da despesa, acompanhado de estudo para cancelamento dos créditos antigos, supostamente alcançados pela prescrição, e determinar, ainda, que seja apresentado, no mesmo prazo, plano de ação com medidas administrativas e legislativas que busquem conter, nos próximos exercícios, o aumento do estoque de restos a pagar, podendo-se adotar como referência, no que couber, aquelas efetivadas pelo Poder Executivo Federal descritas no Acórdão n. 130/2021 – Plenário do Tribunal de Contas da União, bem como as disposições do Decreto n. 93.872/1986 sobre a matéria</t>
  </si>
  <si>
    <t>R3</t>
  </si>
  <si>
    <t>Elaborar plano de ação conjunto com as unidades setoriais de Contabilidade e Finanças, com medidas que busquem confirmar a pertinência dos saldos, as melhorias nos controles, a regularização e o saneamento das ocorrências pendentes no saldo de restos a pagar</t>
  </si>
  <si>
    <t>R8</t>
  </si>
  <si>
    <t xml:space="preserve"> Envidar todos os esforços possíveis na busca de redução das despesas inscritas em restos a pagar, a fim de evitar o comprometimento da programação orçamentária e financeira dos exercícios financeiros seguintes, implementando medidas e ações mais efetivas e eficazes para o alcance desses objetivos</t>
  </si>
  <si>
    <t>DEA1</t>
  </si>
  <si>
    <t>Promover ação planejada com o intuito de evitar que haja inscrição de restos a pagar sem a correspondente disponibilidade financeira, em prol da gestão fiscal responsável (Restos a Pagar x Disponibilidades Financeiras)</t>
  </si>
  <si>
    <t>Etapas</t>
  </si>
  <si>
    <t>Data de Início</t>
  </si>
  <si>
    <t>Data de Término</t>
  </si>
  <si>
    <t>Notas</t>
  </si>
  <si>
    <t>A adoção de todas as etapas viabilizará o atendimento da R8 (2021) e DEA1 (2021).</t>
  </si>
  <si>
    <t>No exercício de 2024, foi submetido ao Cofin pedido de autorização para o cancelamento automático e imediato dos saldos não liquidados de despesas inscritas em Restos a Pagar Não Processados (RPNP) por meio do Siafi. Salvo os impedimentos apresentados pelos órgãos e entidades, a STE/SCCG efetivou o cancelamento dos RPNP. Essa iniciativa permitiu o cancelamento de um montante significativo de RPNP, o que contribui para o atendimento do D27 (2021), D3 (2021) e parte da R3 (2021) e da R8 (2021).</t>
  </si>
  <si>
    <t>Plano de Ação Grupo de Trabalho Dívida Ativa</t>
  </si>
  <si>
    <t>Nº</t>
  </si>
  <si>
    <t>Processo</t>
  </si>
  <si>
    <t>Ação</t>
  </si>
  <si>
    <t>Descrição da Ação</t>
  </si>
  <si>
    <t>Unidade Responsável</t>
  </si>
  <si>
    <t>Data início</t>
  </si>
  <si>
    <t>Data final</t>
  </si>
  <si>
    <t>Status/Observções</t>
  </si>
  <si>
    <t xml:space="preserve">Incluir no cadastramento do código de receita um campo discriminando a natureza a dívida ativa em Tributária e Não Tributária para alteração do Relatório FIAK110 </t>
  </si>
  <si>
    <t xml:space="preserve">Criação do relatório FIAK110 com a inclusão dos novos parêmetros </t>
  </si>
  <si>
    <t xml:space="preserve">Orientação  aos outros órgãos gestores da dívida ativa  sobre os novos parâmetros contidos no Relatório para adequação dos saldos do estoque da dívida ativa    </t>
  </si>
  <si>
    <t xml:space="preserve">Criação do relatório com a inclusão dos novos parêmetros </t>
  </si>
  <si>
    <t>Orientação aos outros órgãos gestores da dívida ativa sobre os novos parâmetros contidos no Relatório para adequação dos registros da Fase Administrativa e do Controle de Legalidade</t>
  </si>
  <si>
    <t>Lançamento de Longo Prazo para Curto Prazo</t>
  </si>
  <si>
    <t>Orientação aos outros órgãos gestores da dívida ativa sobre a base utilizada para o lançamento do longo e do curto prazo (receita PLOA ou LOA) e a forma de registrar os lançamentos</t>
  </si>
  <si>
    <t>Estudo sobre a metodologia de cálculo baseada em uma média
percentual dos recebimentos ao longo dos três últimos exercícios
anteriores ao que incidirá a provisão que está sendo calculada, conforme orientação contida na Portaria STN 564/2004 - 10.5 METODOLOGIA DE CÁLCULO DA PROVISÃO
COM AJUSTE ANUAL</t>
  </si>
  <si>
    <t>Orientação  aos outros órgãos gestores da dívida ativa  sobre nova metodologia para cálculo do ajuste anual para perdas da dívida ativa</t>
  </si>
  <si>
    <t>Realização de registros contábeis na conta de Provisão para Perdas da Dívida Ativa no longo prazo e no curto prazo, conforme nova metodologia</t>
  </si>
  <si>
    <t xml:space="preserve">Revisão dos Agrupamentos, hierarquias das contas contábeis e registro dos saldo do relatório do controle de legalidade. </t>
  </si>
  <si>
    <t>Ajustar contas se necessário</t>
  </si>
  <si>
    <t>Estudo e revisão dos Relatórios para os repasses Financeiros dos processos de Cessão da Carteira MGI e Ajuste da Cessão da Carteira MGI.</t>
  </si>
  <si>
    <t>Identificar a necessidade de criar novo relatórios se for necessário para adequar à realidade</t>
  </si>
  <si>
    <t>Órgão</t>
  </si>
  <si>
    <t>Unidade</t>
  </si>
  <si>
    <t>SEF/SCCG, SEF/SCAF, AGE/PTPT</t>
  </si>
  <si>
    <t xml:space="preserve">Superintendência Central de Contadoria Geral - SCCG/SEF </t>
  </si>
  <si>
    <t>E-mail para contato</t>
  </si>
  <si>
    <t>sccggabinete@fazenda.mg.gov.br</t>
  </si>
  <si>
    <t>Equipe</t>
  </si>
  <si>
    <t xml:space="preserve">SEF/SCCG: Dênis Robinson de A. Paixão, Nilson Eustáquio de Souza, Danielle Braga Valaci P. Ferrari </t>
  </si>
  <si>
    <t>SEF/SCAF: Felipe Afonso Costa, Cristiane Torres M. de Carvalho, Vanessa L. Avendanha, Pedro Augusto M. Dias, Jose Arnaldo dos Santos Júnior</t>
  </si>
  <si>
    <t>AGE/PTPT: Karen Cristina B. Vieira, Maria de Lourdes Indio do Brasil, Gelcimar Cordeiro Carvalho, Daniela Virgínia Dias Gomes</t>
  </si>
  <si>
    <t>TJMG: Marcelo Cândido da Costa, Dayane Cristina Rodrigues Dias de Almeida</t>
  </si>
  <si>
    <t>Plano de ação - Relatório 01 – SEF/STE-SCGG, de 28/02/25</t>
  </si>
  <si>
    <t>Marcos / Etapas</t>
  </si>
  <si>
    <t>Descrição do Marco / Etapa</t>
  </si>
  <si>
    <t>Pontos de Atenção</t>
  </si>
  <si>
    <t>Conforme apontando, o estudo dos dados disponíveis nos relatórios, resultou na necessidade de registro de novas receitas, seguido de conciliação bancária da conta especial.</t>
  </si>
  <si>
    <t>Por meio do novo fluxo de registro do processo, será dada maior celeridade e transparência para o processo de precatórios, retratando o fato gerador do desembolso financeiro no momento de sua ocorrência, o que será operacionalizado pela AGE e entidades da Administração Indireta.</t>
  </si>
  <si>
    <t xml:space="preserve"> A AGE já iniciou o estudo dos dados a partir de 2004, iniciando a baixa individualizada de precatório com base no extrato do TJMG. Serão priorizados os registros a partir do exercício de 2024.</t>
  </si>
  <si>
    <t xml:space="preserve"> Mediante a volumetria de órgãos e entidades responsáveis a serem identificados por meio dos extratos do TJMG, será elaborado plano de ação para saneamento dos precatórios pela AGE, que irá direcionar os registros das entidades da Administração Indireta.</t>
  </si>
  <si>
    <t>Após a realização do item 5 e, em conjunto com os dados do Relatóriosde precatórios do TJMG, será avaliada a existência ou não de diferença residual no passivo de longo prazo de precatórios para definição do tratamento a ser dado.</t>
  </si>
  <si>
    <t xml:space="preserve">Prazo </t>
  </si>
  <si>
    <t>Unidades 
Envolvidas</t>
  </si>
  <si>
    <t xml:space="preserve">Procedimento/definição </t>
  </si>
  <si>
    <t>2.1.</t>
  </si>
  <si>
    <t>2.2.</t>
  </si>
  <si>
    <t>2.3.</t>
  </si>
  <si>
    <t>2..4.</t>
  </si>
  <si>
    <t>2.5.</t>
  </si>
  <si>
    <t>3.1.</t>
  </si>
  <si>
    <t xml:space="preserve">3.1.1. </t>
  </si>
  <si>
    <t>3.2.2.</t>
  </si>
  <si>
    <t>3.2.</t>
  </si>
  <si>
    <t>3.2.1.</t>
  </si>
  <si>
    <t>3.2.2.1.</t>
  </si>
  <si>
    <t>3.2.2.2.</t>
  </si>
  <si>
    <t>3.2.2.3.</t>
  </si>
  <si>
    <t>3.2.2.4.</t>
  </si>
  <si>
    <t>3.2.2.5.</t>
  </si>
  <si>
    <t xml:space="preserve">3.2.2.6. </t>
  </si>
  <si>
    <t>3.2.2.7.</t>
  </si>
  <si>
    <t>3.3.</t>
  </si>
  <si>
    <t>3.4.</t>
  </si>
  <si>
    <t>3.5.</t>
  </si>
  <si>
    <t>3.6.</t>
  </si>
  <si>
    <t>Marcos/Etapas</t>
  </si>
  <si>
    <t>Descrição</t>
  </si>
  <si>
    <t>Data
Início</t>
  </si>
  <si>
    <t>Data
Término</t>
  </si>
  <si>
    <t>1.0</t>
  </si>
  <si>
    <t>Leitura e entendimento
da NBC TSP 08 –
INTANGÍVEL.</t>
  </si>
  <si>
    <t>Levantar os requisitos legais
previstos na NBC TSP 08
que trata do INTANGÍVEL
para orientação aos órgãos
e entidades.</t>
  </si>
  <si>
    <t>Todos os
integrantes
do GT.</t>
  </si>
  <si>
    <t>12/05/2025</t>
  </si>
  <si>
    <t>17/06/2025</t>
  </si>
  <si>
    <t>Levantamento dos
Softwares da SEF.</t>
  </si>
  <si>
    <t>Apurar junto à SPGF e STI
da SEF os softwares
classificados como Ativo
Intangível.</t>
  </si>
  <si>
    <t>SEF/STI,
SEF/SPGF e
SEF/SCCG.</t>
  </si>
  <si>
    <t>02/06/2025</t>
  </si>
  <si>
    <t>13/06/2025</t>
  </si>
  <si>
    <t>Reconhecimento e
mensuração dos
Softwares da SEF
classificados como
ativos intangíveis,
incluindo uma política
de amortização.</t>
  </si>
  <si>
    <t>Adotar as providências
necessárias para o
reconhecimento e a
mensuração dos softwares
enquadrados como ativos
intangíveis, incluindo uma
política de amortização;
Definição de vida útil e
critérios de Amortização
e/ou reavaliação.</t>
  </si>
  <si>
    <t>01/08/2025</t>
  </si>
  <si>
    <t>30/06/2026</t>
  </si>
  <si>
    <t>Tratamento aos
Softwares da SEF
classificados
indevidamente como
intangível bem como os
casos de
obsolescência.</t>
  </si>
  <si>
    <t>Identificar os itens
classificados indevidamente
como Software, bem como
aqueles obsoletos ou em
desuso para a respectiva
baixa.</t>
  </si>
  <si>
    <t>01/07/2026</t>
  </si>
  <si>
    <t>31/10/2026</t>
  </si>
  <si>
    <t>Impairment/Reavaliação
e Recálculo de Vida Útil
dos Softwares da SEF.</t>
  </si>
  <si>
    <t>Adotar procedimentos de
teste de perda de valor,
reavaliação e de revisão da
vida útil para os ativos
intangíveis com vida útil
indefinida.</t>
  </si>
  <si>
    <t>01/10/2026</t>
  </si>
  <si>
    <t>31/12/2026</t>
  </si>
  <si>
    <t>Preparação de Notas
Técnicas para baixa de
Softwares Obsoletos
e/ou classificados
indevidamente.</t>
  </si>
  <si>
    <t>Preparação de Notas
Técnicas para baixa de
Softwares Obsoletos e/ou
classificados indevidamente.</t>
  </si>
  <si>
    <t>SEF/STI e
SEF/SCCG.</t>
  </si>
  <si>
    <t>Levantamento dos
Softwares junto à
SEPLAG, SEGOV e
Casa Civil.</t>
  </si>
  <si>
    <t>Circularizar à SEPLAG, à
SEGOV (SIGCON – saída) e
à Casa Civil (SIGCON –
Entrada) visando levantar os
respectivos Softwares e seu
enquadramento como Ativo
Intangível em atendimento a
NBC TSP 08.</t>
  </si>
  <si>
    <t>SEPLAG,
SEGOV e
CASA CIVIL.</t>
  </si>
  <si>
    <t>31/07/2025</t>
  </si>
  <si>
    <t>Reconhecimento e
mensuração dos
Softwares da
SEPLAG/SEGOV e
Casa Civil classificados
como ativos intangíveis,
incluindo uma política
de amortização.</t>
  </si>
  <si>
    <t>Tratamento aos
Softwares da
SEPLAG/SEGOV e
Casa Civil classificados
indevidamente como
intangível bem como os
casos de
obsolescência.</t>
  </si>
  <si>
    <t>Identificar os itens
classificados indevidamente
como Software, bem como
aqueles obsoletos ou em
desuso para a respectiva
baixa (Emitir Nota Técnica).</t>
  </si>
  <si>
    <t>2.4</t>
  </si>
  <si>
    <t>Impairment/Reavaliação
e Recálculo de Vida Útil
dos Softwares da
SEPLAG/SEGOV E
Casa Civil.</t>
  </si>
  <si>
    <t>Nota Explicativa para
composição do Balanço
Patrimonial.</t>
  </si>
  <si>
    <t>Elaboração de Nota
Explicativa para composição
do Balanço Patrimonial
esclarecendo os registros
contábeis de intangíveis
realizados no exercício de
2026, resultantes das etapas
1 e 2 deste plano de ação.</t>
  </si>
  <si>
    <t>SEF/SCGG.</t>
  </si>
  <si>
    <t>01/01/2027</t>
  </si>
  <si>
    <t>31/03/2027</t>
  </si>
  <si>
    <t>Levantamento dos
demais intangíveis do
Estado (marcas, direitos
e patentes).</t>
  </si>
  <si>
    <t>Circularizar aos Órgãos e
entidades estatais visando
levantar o Ativo Intangível,
além dos softwares, em
atendimento à NBC TSP 08.</t>
  </si>
  <si>
    <t>SEPLAG e
SEF/SCCG.</t>
  </si>
  <si>
    <t>01/04/2026</t>
  </si>
  <si>
    <t>Reconhecimento e
mensuração dos
demais intangíveis do
Estado (marcas, direitos
e patentes), incluindo
uma política de
amortização e de
reavaliação.</t>
  </si>
  <si>
    <t>Adotar as providências
necessárias para o
reconhecimento e a
mensuração dos demais
intangíveis do Estado
(marcas, direitos e
patentes), incluindo uma
política de amortização;
Definição de vida útil e
critérios de Amortização
e/ou reavaliação.</t>
  </si>
  <si>
    <t>31/12/2027</t>
  </si>
  <si>
    <t>Desenvolvimento do
módulo do Ativo
Intangível no SIAD e
integração entre os
sistemas de
Administração
Financeira e contábil
vigente.</t>
  </si>
  <si>
    <t>Desenvolver o Módulo do
Ativo Intangível e promover
a integração entre os
sistemas de gestão
patrimonial e contábil,
assegurando que os dados
sobre ativos intangíveis
sejam capturados e
refletidos de forma
automática nas
demonstrações contábeis.</t>
  </si>
  <si>
    <t>SEPLAG e
SEF/SCCG</t>
  </si>
  <si>
    <t>30/06/2027</t>
  </si>
  <si>
    <t>Parametrização dos
sistemas SIAD e de
Administração
Financeira e contábil
vigente.</t>
  </si>
  <si>
    <t>Parametrização dos
sistemas SIAD - GRP para a
contabilização
(aquisição/alterações/baixas,
impairment e cálculo de
amortização) de forma
automatizada.</t>
  </si>
  <si>
    <t>01/07/2027</t>
  </si>
  <si>
    <t>Levantamento junto a
outros Estados e na
União de normativos e
legislações sobre
intangível.</t>
  </si>
  <si>
    <t>Levantar os normativos já
existentes em outros
Estados sobre o assunto
Intangível para subsidiar a
elaboração de normativos no
âmbito do Estado de Minas
Gerais.</t>
  </si>
  <si>
    <t>SEF/SPGF e
SEF/SCCG.</t>
  </si>
  <si>
    <t>01/01/2026</t>
  </si>
  <si>
    <t>Normatização dos
Procedimentos para
Reconhecimento,
política de amortização,
impairment, reavaliação
e Escrituração dos
Ativos Intangíveis do
Estado.</t>
  </si>
  <si>
    <t>Elaborar e divulgar
normativo orientando
Procedimentos de
reconhecimento,
mensuração, cadastramento
e contabilização das
diferentes classes de Ativo
Intangível para todo o
Estado.</t>
  </si>
  <si>
    <t>Data Início</t>
  </si>
  <si>
    <t>Data Término</t>
  </si>
  <si>
    <t>Alteração do SIAD referente à política de
depreciação</t>
  </si>
  <si>
    <t>Alteração das regras de sistema de modo que a
depreciação passe a ser apenas linear, removendo os
gatilhos atualmente parametrizados no sistema</t>
  </si>
  <si>
    <t>Seplag</t>
  </si>
  <si>
    <t>Alteração do SIAD referente a política de
reavaliação acionando o sistema financeiro e
contábil vigente</t>
  </si>
  <si>
    <t>Alteração das regras de sistema de modo que a
reavaliação passe a ser realizado por classe.</t>
  </si>
  <si>
    <t>Baixa da reserva de reavaliação referente a
depreciação de bens imóveis baixados de 2019
até 2026.</t>
  </si>
  <si>
    <t>Baixa, por NAC fundamentada em relatório do SIAD, da
reserva de reavaliação dos bens alienados/baixados com
base em relatório do SIAD.</t>
  </si>
  <si>
    <t>Seplag
e SEF/SCCG</t>
  </si>
  <si>
    <t>Alteração do SIAD referente a amortização
automática da Reserva de Reavaliação,
acionando o sistema financeiro e contábil
vigente</t>
  </si>
  <si>
    <t>1) Implantação de baixa automática pelo uso pelo SIAD.
2) Implantação de baixa automática pelo
desreconhecimento ou alienação pelo SIAD.</t>
  </si>
  <si>
    <t>Desenvolvimento no SIAD de relatórios sobre
imobilizados</t>
  </si>
  <si>
    <t>Desenvolvimento do relatório previsto no modelo anexo.</t>
  </si>
  <si>
    <t>Normatização da política de Imobilizado do
Estado</t>
  </si>
  <si>
    <t>Elaborar e divulgar normativo orientando os procedimentos
de depreciação e reavaliação do Imobilizados do Estado
de Minas Gerais</t>
  </si>
  <si>
    <t>Seplag e
SEF/SCCG</t>
  </si>
  <si>
    <t>Nome</t>
  </si>
  <si>
    <t>Resolução</t>
  </si>
  <si>
    <t>Coordenador</t>
  </si>
  <si>
    <t>Unidades</t>
  </si>
  <si>
    <t>Documento TCE</t>
  </si>
  <si>
    <t>PORTARIA CONJUNTA SCAF/SEF, SCCG/SEF, STI/SEF, SUCRED/SEF Nº 01, DE 18 DE OUTUBRO 2024</t>
  </si>
  <si>
    <t>RESOLUÇÃO CONJUNTA SEF/AGE/TJ Nº 5799, DE 12 DE JUNHO DE 2024</t>
  </si>
  <si>
    <t>PORTARIA SEF/GAB Nº 012/2025, DE 12 DE MAIO DE 2025</t>
  </si>
  <si>
    <t>PORTARIA CONJUNTA N° 01/2023/TСЕMG/SEF-MG/SEPLAG-MG</t>
  </si>
  <si>
    <t>1500.01.0372946/2023-68</t>
  </si>
  <si>
    <t>RESOLUÇÃO CONJUNTA SEF/SEPLAG Nº 5895, DE 26 DE MARÇO DE 2025</t>
  </si>
  <si>
    <t>1190.01.0003884/2025-05</t>
  </si>
  <si>
    <t>MDE E ASPS (Restos a pagar)</t>
  </si>
  <si>
    <t>Processo SEI</t>
  </si>
  <si>
    <t>1190.01.0006273/2025-07
1190.01.0008471/2025-25</t>
  </si>
  <si>
    <t>Ofício 10031/2023 - GCMT/CFAMGE</t>
  </si>
  <si>
    <t>1190.01.0009942/2024-81
1500.01.0205656/2023-93</t>
  </si>
  <si>
    <t>1190.01.0006895/2025-91
1190.01.0007622/2025-56</t>
  </si>
  <si>
    <t>Parecer Prévio TCE 2020 (113687240)
Parecer Prévio TCE 2021 (113687510)
Parecer Prévio TCE 2022 (113687816)</t>
  </si>
  <si>
    <t>Ofício Nº 18756/2023 (75862874)</t>
  </si>
  <si>
    <t>Relatório 105569558 TCE-Demonstrações contábeis-SEF (108954039)</t>
  </si>
  <si>
    <t>Antônio Amorim Filho</t>
  </si>
  <si>
    <t>SAIF, SUTRI, SCCG</t>
  </si>
  <si>
    <t>TCE, SEF, STE, SCAF, SCCG, DCICF, SPLOR, SCPO, DCAF</t>
  </si>
  <si>
    <t>SEF, AC, STE, SPGF, STI, SEPLAG, SUGESP, SUBLOG, SUBDIGITAL</t>
  </si>
  <si>
    <t>1500.01.0292567/2025-17</t>
  </si>
  <si>
    <t>Relatório Final de auditoria financeira sobre o saldo da dívida ativa do Estado, para o exercício findo em 31 de dezembro de 2023</t>
  </si>
  <si>
    <t>1190.01.0013322/2025-95</t>
  </si>
  <si>
    <t>PORTARIA SEF/GAB Nº 013/2025, 25 DE AGOSTO DE 2025</t>
  </si>
  <si>
    <t>Danielle Braga Valaci Ferrari</t>
  </si>
  <si>
    <t>SCCG, SAIF, SUCRED</t>
  </si>
  <si>
    <t>Danielle Braga Valaci Ferrari, Raquel Rezende Castro Alves Barbosa, Adriane Aparecida de Paula, Ricardo Alves de Sousa, Rodrigo Santos Faria</t>
  </si>
  <si>
    <t>Em desenvolvimento</t>
  </si>
  <si>
    <t>SEF, SCAF, SCCG, Gabinete SEF, AGE, PDAT, PTPT</t>
  </si>
  <si>
    <t>Ativo Intangível</t>
  </si>
  <si>
    <t>Ativo Imobilizado</t>
  </si>
  <si>
    <t>Renúncia de Receita</t>
  </si>
  <si>
    <t>Saldo Dívida Ativa 2023 - TCE</t>
  </si>
  <si>
    <t>Receita por competência</t>
  </si>
  <si>
    <t>Contabilização</t>
  </si>
  <si>
    <t>Pessoal (Férias Prêmio)</t>
  </si>
  <si>
    <t>Planejado</t>
  </si>
  <si>
    <t>SEI relacionados</t>
  </si>
  <si>
    <t>Documentos relacionados</t>
  </si>
  <si>
    <t>&lt;!DOCTYPE html&gt;
&lt;html lang="pt-br"&gt;
&lt;head&gt;
    &lt;meta charset="UTF-8"&gt;
    &lt;meta name="viewport" content="width=device-width, initial-scale=1.0"&gt;
    &lt;title&gt;Planos de ação&lt;/title&gt;
    &lt;link rel='stylesheet' href='styles.css'&gt;
&lt;/head&gt;
&lt;body&gt;
'##JSON_PLANOS_PLACEHOLDER##'  
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&lt;br&gt; 
'##JSON_ACOES_PLACEHOLDER##'  
    &lt;script src='scripts.js'&gt;&lt;/script&gt;
&lt;/body&gt;
&lt;/html&gt;</t>
  </si>
  <si>
    <t>//hello word</t>
  </si>
  <si>
    <t>body{
background-color: black;
color: green;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</si>
</sst>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474540"/>
      <name val="Open Sans"/>
      <family val="2"/>
      <charset val="1"/>
    </font>
    <font>
      <b/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 wrapText="1"/>
    </xf>
    <xf numFmtId="0" fontId="8" fillId="5" borderId="1" xfId="0" applyFont="1" applyFill="1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14" fontId="0" fillId="0" borderId="5" xfId="0" applyNumberForma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6" borderId="6" xfId="0" applyFont="1" applyFill="1" applyBorder="1"/>
    <xf numFmtId="0" fontId="0" fillId="0" borderId="7" xfId="0" applyBorder="1"/>
    <xf numFmtId="0" fontId="10" fillId="6" borderId="8" xfId="0" applyFont="1" applyFill="1" applyBorder="1"/>
    <xf numFmtId="0" fontId="0" fillId="0" borderId="9" xfId="0" applyBorder="1"/>
    <xf numFmtId="0" fontId="11" fillId="0" borderId="9" xfId="0" applyFont="1" applyBorder="1"/>
    <xf numFmtId="0" fontId="4" fillId="0" borderId="9" xfId="1" applyBorder="1"/>
    <xf numFmtId="0" fontId="0" fillId="0" borderId="9" xfId="0" applyBorder="1" applyAlignment="1">
      <alignment wrapText="1"/>
    </xf>
    <xf numFmtId="0" fontId="0" fillId="0" borderId="12" xfId="0" applyBorder="1"/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1" fillId="7" borderId="19" xfId="0" applyFont="1" applyFill="1" applyBorder="1" applyAlignment="1">
      <alignment horizontal="left" vertical="center" wrapText="1"/>
    </xf>
    <xf numFmtId="0" fontId="0" fillId="7" borderId="19" xfId="0" applyFill="1" applyBorder="1" applyAlignment="1">
      <alignment horizontal="left" vertical="center" wrapText="1"/>
    </xf>
    <xf numFmtId="17" fontId="0" fillId="7" borderId="19" xfId="0" applyNumberFormat="1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left" vertical="center" wrapText="1"/>
    </xf>
    <xf numFmtId="0" fontId="0" fillId="7" borderId="5" xfId="0" applyFill="1" applyBorder="1" applyAlignment="1">
      <alignment horizontal="left" vertical="center" wrapText="1"/>
    </xf>
    <xf numFmtId="0" fontId="0" fillId="7" borderId="1" xfId="0" applyFill="1" applyBorder="1" applyAlignment="1">
      <alignment horizontal="left" vertical="center"/>
    </xf>
    <xf numFmtId="17" fontId="0" fillId="7" borderId="5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17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/>
    </xf>
    <xf numFmtId="0" fontId="0" fillId="7" borderId="21" xfId="0" applyFill="1" applyBorder="1" applyAlignment="1">
      <alignment horizontal="left" vertical="center" wrapText="1"/>
    </xf>
    <xf numFmtId="0" fontId="0" fillId="7" borderId="21" xfId="0" applyFill="1" applyBorder="1" applyAlignment="1">
      <alignment horizontal="left" vertical="center"/>
    </xf>
    <xf numFmtId="17" fontId="0" fillId="7" borderId="21" xfId="0" applyNumberFormat="1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/>
    </xf>
    <xf numFmtId="0" fontId="0" fillId="8" borderId="19" xfId="0" applyFill="1" applyBorder="1" applyAlignment="1">
      <alignment horizontal="left" vertical="center" wrapText="1"/>
    </xf>
    <xf numFmtId="0" fontId="0" fillId="8" borderId="19" xfId="0" applyFill="1" applyBorder="1" applyAlignment="1">
      <alignment horizontal="left" vertical="center"/>
    </xf>
    <xf numFmtId="17" fontId="0" fillId="8" borderId="1" xfId="0" applyNumberFormat="1" applyFill="1" applyBorder="1" applyAlignment="1">
      <alignment horizontal="center" vertical="center"/>
    </xf>
    <xf numFmtId="17" fontId="0" fillId="8" borderId="19" xfId="0" applyNumberForma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8" borderId="1" xfId="0" applyFill="1" applyBorder="1" applyAlignment="1">
      <alignment horizontal="left" vertical="center" wrapText="1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/>
    </xf>
    <xf numFmtId="0" fontId="0" fillId="8" borderId="21" xfId="0" applyFill="1" applyBorder="1" applyAlignment="1">
      <alignment horizontal="left" vertical="center" wrapText="1"/>
    </xf>
    <xf numFmtId="0" fontId="0" fillId="8" borderId="21" xfId="0" applyFill="1" applyBorder="1" applyAlignment="1">
      <alignment horizontal="left" vertical="center"/>
    </xf>
    <xf numFmtId="17" fontId="0" fillId="8" borderId="21" xfId="0" applyNumberFormat="1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left" vertical="center"/>
    </xf>
    <xf numFmtId="17" fontId="0" fillId="8" borderId="17" xfId="0" applyNumberForma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5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/>
    </xf>
    <xf numFmtId="17" fontId="0" fillId="8" borderId="5" xfId="0" applyNumberForma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left" vertical="center" wrapText="1"/>
    </xf>
    <xf numFmtId="0" fontId="0" fillId="7" borderId="17" xfId="0" applyFill="1" applyBorder="1" applyAlignment="1">
      <alignment horizontal="left" vertical="center"/>
    </xf>
    <xf numFmtId="17" fontId="0" fillId="7" borderId="17" xfId="0" applyNumberForma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2" fillId="0" borderId="0" xfId="0" applyFont="1"/>
    <xf numFmtId="0" fontId="13" fillId="9" borderId="19" xfId="0" applyFont="1" applyFill="1" applyBorder="1" applyAlignment="1">
      <alignment horizontal="center" vertical="center"/>
    </xf>
    <xf numFmtId="0" fontId="13" fillId="9" borderId="19" xfId="0" applyFont="1" applyFill="1" applyBorder="1" applyAlignment="1">
      <alignment horizontal="center" vertical="center" wrapText="1"/>
    </xf>
    <xf numFmtId="0" fontId="13" fillId="9" borderId="7" xfId="0" applyFont="1" applyFill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center" vertical="center"/>
    </xf>
    <xf numFmtId="14" fontId="14" fillId="0" borderId="1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 wrapText="1"/>
    </xf>
    <xf numFmtId="0" fontId="14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 vertical="center"/>
    </xf>
    <xf numFmtId="0" fontId="14" fillId="4" borderId="30" xfId="0" applyFont="1" applyFill="1" applyBorder="1" applyAlignment="1">
      <alignment horizontal="left" vertical="center" wrapText="1"/>
    </xf>
    <xf numFmtId="0" fontId="14" fillId="4" borderId="1" xfId="0" applyFont="1" applyFill="1" applyBorder="1" applyAlignment="1">
      <alignment horizontal="center" vertical="center"/>
    </xf>
    <xf numFmtId="14" fontId="14" fillId="4" borderId="1" xfId="0" applyNumberFormat="1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left" vertical="center" wrapText="1"/>
    </xf>
    <xf numFmtId="0" fontId="14" fillId="10" borderId="28" xfId="0" applyFont="1" applyFill="1" applyBorder="1" applyAlignment="1">
      <alignment horizontal="center" vertical="center"/>
    </xf>
    <xf numFmtId="0" fontId="14" fillId="10" borderId="29" xfId="0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6" fillId="0" borderId="9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27" xfId="0" applyFont="1" applyBorder="1" applyAlignment="1">
      <alignment horizontal="left" vertical="center" wrapText="1"/>
    </xf>
    <xf numFmtId="0" fontId="15" fillId="0" borderId="30" xfId="0" applyFont="1" applyBorder="1" applyAlignment="1">
      <alignment horizontal="left" vertical="center" wrapText="1"/>
    </xf>
    <xf numFmtId="0" fontId="15" fillId="0" borderId="30" xfId="0" applyFont="1" applyBorder="1" applyAlignment="1">
      <alignment vertical="center" wrapText="1"/>
    </xf>
    <xf numFmtId="0" fontId="15" fillId="0" borderId="9" xfId="0" applyFont="1" applyBorder="1" applyAlignment="1">
      <alignment vertical="center" wrapText="1"/>
    </xf>
    <xf numFmtId="0" fontId="15" fillId="0" borderId="20" xfId="0" applyFont="1" applyBorder="1" applyAlignment="1">
      <alignment vertical="center" wrapText="1"/>
    </xf>
    <xf numFmtId="0" fontId="14" fillId="0" borderId="3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14" fillId="4" borderId="30" xfId="0" applyFont="1" applyFill="1" applyBorder="1" applyAlignment="1">
      <alignment vertical="center"/>
    </xf>
    <xf numFmtId="0" fontId="14" fillId="4" borderId="9" xfId="0" applyFont="1" applyFill="1" applyBorder="1" applyAlignment="1">
      <alignment vertical="center" wrapText="1"/>
    </xf>
    <xf numFmtId="0" fontId="14" fillId="0" borderId="28" xfId="0" applyFont="1" applyBorder="1" applyAlignment="1">
      <alignment horizontal="center" vertical="center"/>
    </xf>
    <xf numFmtId="0" fontId="14" fillId="0" borderId="30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left" vertical="center" indent="4"/>
    </xf>
    <xf numFmtId="0" fontId="15" fillId="0" borderId="30" xfId="0" applyFont="1" applyBorder="1" applyAlignment="1">
      <alignment horizontal="left" vertical="center" wrapText="1" indent="2"/>
    </xf>
    <xf numFmtId="0" fontId="15" fillId="0" borderId="29" xfId="0" applyFont="1" applyBorder="1" applyAlignment="1">
      <alignment vertical="center"/>
    </xf>
    <xf numFmtId="0" fontId="15" fillId="0" borderId="9" xfId="0" applyFont="1" applyBorder="1" applyAlignment="1">
      <alignment wrapText="1"/>
    </xf>
    <xf numFmtId="0" fontId="18" fillId="0" borderId="1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/>
    </xf>
    <xf numFmtId="0" fontId="14" fillId="0" borderId="9" xfId="0" applyFont="1" applyBorder="1" applyAlignment="1">
      <alignment wrapText="1"/>
    </xf>
    <xf numFmtId="0" fontId="17" fillId="0" borderId="0" xfId="0" applyFont="1"/>
    <xf numFmtId="0" fontId="14" fillId="0" borderId="1" xfId="0" applyFont="1" applyBorder="1" applyAlignment="1">
      <alignment horizontal="center" vertical="center" wrapText="1"/>
    </xf>
    <xf numFmtId="0" fontId="14" fillId="0" borderId="29" xfId="0" applyFont="1" applyBorder="1" applyAlignment="1">
      <alignment vertical="center" wrapText="1"/>
    </xf>
    <xf numFmtId="0" fontId="14" fillId="0" borderId="30" xfId="0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wrapText="1"/>
    </xf>
    <xf numFmtId="14" fontId="0" fillId="0" borderId="0" xfId="0" applyNumberFormat="1"/>
    <xf numFmtId="14" fontId="0" fillId="0" borderId="0" xfId="0" applyNumberFormat="1" applyAlignment="1">
      <alignment horizontal="left" vertical="center" wrapText="1"/>
    </xf>
    <xf numFmtId="14" fontId="1" fillId="0" borderId="0" xfId="0" applyNumberFormat="1" applyFont="1" applyAlignment="1">
      <alignment vertical="center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3" fillId="9" borderId="23" xfId="0" applyFont="1" applyFill="1" applyBorder="1" applyAlignment="1">
      <alignment horizontal="center" vertical="center" wrapText="1"/>
    </xf>
    <xf numFmtId="0" fontId="13" fillId="9" borderId="24" xfId="0" applyFont="1" applyFill="1" applyBorder="1" applyAlignment="1">
      <alignment horizontal="center" vertical="center" wrapText="1"/>
    </xf>
    <xf numFmtId="0" fontId="13" fillId="9" borderId="25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left" vertical="center" wrapText="1"/>
    </xf>
    <xf numFmtId="0" fontId="10" fillId="6" borderId="10" xfId="0" applyFont="1" applyFill="1" applyBorder="1" applyAlignment="1">
      <alignment horizontal="left" vertical="center" wrapText="1"/>
    </xf>
    <xf numFmtId="0" fontId="10" fillId="6" borderId="11" xfId="0" applyFont="1" applyFill="1" applyBorder="1" applyAlignment="1">
      <alignment horizontal="left" vertical="center" wrapText="1"/>
    </xf>
    <xf numFmtId="0" fontId="1" fillId="5" borderId="13" xfId="0" applyFont="1" applyFill="1" applyBorder="1" applyAlignment="1">
      <alignment horizontal="center" wrapText="1"/>
    </xf>
    <xf numFmtId="0" fontId="1" fillId="5" borderId="14" xfId="0" applyFont="1" applyFill="1" applyBorder="1" applyAlignment="1">
      <alignment horizontal="center" wrapText="1"/>
    </xf>
    <xf numFmtId="0" fontId="1" fillId="5" borderId="15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7"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36979</xdr:colOff>
      <xdr:row>1</xdr:row>
      <xdr:rowOff>5603</xdr:rowOff>
    </xdr:from>
    <xdr:to>
      <xdr:col>10</xdr:col>
      <xdr:colOff>414618</xdr:colOff>
      <xdr:row>3</xdr:row>
      <xdr:rowOff>100853</xdr:rowOff>
    </xdr:to>
    <xdr:sp macro="[0]!GerarGraficoGantt" textlink="">
      <xdr:nvSpPr>
        <xdr:cNvPr id="2" name="Retângulo 1">
          <a:extLst>
            <a:ext uri="{FF2B5EF4-FFF2-40B4-BE49-F238E27FC236}">
              <a16:creationId xmlns:a16="http://schemas.microsoft.com/office/drawing/2014/main" id="{BDDB921A-2B45-03BB-D8D0-3DD4465EEBE1}"/>
            </a:ext>
          </a:extLst>
        </xdr:cNvPr>
        <xdr:cNvSpPr/>
      </xdr:nvSpPr>
      <xdr:spPr>
        <a:xfrm>
          <a:off x="8945655" y="196103"/>
          <a:ext cx="982757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DE7105B2-5F0D-4074-9A1E-55D20D528D9B}" autoFormatId="16" applyNumberFormats="0" applyBorderFormats="0" applyFontFormats="0" applyPatternFormats="0" applyAlignmentFormats="0" applyWidthHeightFormats="0">
  <queryTableRefresh nextId="7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 Início" tableColumnId="5"/>
      <queryTableField id="6" name="Data Término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EA2037D2-00BD-495F-A137-92AA909A8841}" autoFormatId="16" applyNumberFormats="0" applyBorderFormats="0" applyFontFormats="0" applyPatternFormats="0" applyAlignmentFormats="0" applyWidthHeightFormats="0">
  <queryTableRefresh nextId="9">
    <queryTableFields count="6">
      <queryTableField id="1" name="Item" tableColumnId="1"/>
      <queryTableField id="2" name="Marcos/Etapas" tableColumnId="2"/>
      <queryTableField id="3" name="Descrição" tableColumnId="3"/>
      <queryTableField id="4" name="Responsável" tableColumnId="4"/>
      <queryTableField id="5" name="Data_x000a_Início" tableColumnId="5"/>
      <queryTableField id="6" name="Data_x000a_Término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C92C9-F18A-4C05-AFD6-5F41B618B652}" name="Tabela1" displayName="Tabela1" ref="A1:I97" totalsRowShown="0">
  <autoFilter ref="A1:I97" xr:uid="{1D9C92C9-F18A-4C05-AFD6-5F41B618B652}"/>
  <tableColumns count="9">
    <tableColumn id="1" xr3:uid="{5C0FC5F7-9221-48E7-B8E5-5E2D80C21EB5}" name="Plano de ação"/>
    <tableColumn id="2" xr3:uid="{98F57000-52E9-4B63-9897-8AE7BC19B49D}" name="Número da atividade"/>
    <tableColumn id="3" xr3:uid="{621A1950-7B33-4C34-AF78-FB3E8498F2E1}" name="Atividade"/>
    <tableColumn id="4" xr3:uid="{3C88C983-3919-4B49-AAEE-E36F552725E8}" name="Status" dataDxfId="26"/>
    <tableColumn id="5" xr3:uid="{335D434F-8073-47E0-A840-1B8E1C229787}" name="Responsável"/>
    <tableColumn id="6" xr3:uid="{14E79341-3A79-4EB0-8DA0-602F2A95DDF1}" name="Unidades envolvidas"/>
    <tableColumn id="7" xr3:uid="{4B9D9167-4331-4D5D-9A2A-4E5742926E93}" name="Data de início"/>
    <tableColumn id="8" xr3:uid="{4B6DFD07-05C2-4911-AB8F-F032429F8C44}" name="Data fim"/>
    <tableColumn id="9" xr3:uid="{2DAF9067-59D4-49A7-BDBB-06C3468ABDE5}" name="Observaçõ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246561-1804-4899-95B7-D66CB17B189C}" name="Tabela3" displayName="Tabela3" ref="A1:M11" totalsRowShown="0" headerRowDxfId="25" dataDxfId="24">
  <autoFilter ref="A1:M11" xr:uid="{04246561-1804-4899-95B7-D66CB17B189C}"/>
  <tableColumns count="13">
    <tableColumn id="1" xr3:uid="{22F9B617-B087-44CB-9345-DD773DEAC8EF}" name="Nome" dataDxfId="23"/>
    <tableColumn id="2" xr3:uid="{D63EE3A9-3255-489E-8801-55323B000512}" name="Processo SEI" dataDxfId="22"/>
    <tableColumn id="3" xr3:uid="{059FA52F-3A6E-4388-AE3E-F49A2DB4CBEB}" name="Documento TCE" dataDxfId="21"/>
    <tableColumn id="4" xr3:uid="{B3CCA846-F420-4DE3-B43B-447C4F039912}" name="Resolução" dataDxfId="20"/>
    <tableColumn id="5" xr3:uid="{9E8901E0-5975-4D3F-B1BD-18D9260BF6FE}" name="Data início" dataDxfId="19"/>
    <tableColumn id="6" xr3:uid="{2AF94393-4A6F-4CCB-BEA6-37B6C8C6F173}" name="Data fim" dataDxfId="18"/>
    <tableColumn id="8" xr3:uid="{8D4DA1BE-5BDE-4713-8115-C61DECA3B3DC}" name="Coordenador" dataDxfId="17"/>
    <tableColumn id="9" xr3:uid="{81FE5361-A97C-44C4-9DF8-094D702E98D5}" name="Unidades" dataDxfId="16"/>
    <tableColumn id="10" xr3:uid="{D97D7459-F43F-47A0-A564-35FECFBF40E9}" name="Equipe" dataDxfId="15"/>
    <tableColumn id="7" xr3:uid="{0EEDF12F-1C61-4C6A-98FD-98072CB5E42B}" name="Status" dataDxfId="14"/>
    <tableColumn id="11" xr3:uid="{777CCB20-CD7B-4D7F-AD1D-F4377989EC9A}" name="SEI relacionados" dataDxfId="2"/>
    <tableColumn id="12" xr3:uid="{0F2ACA4A-31C8-4E60-B90F-1551F6F0CAC5}" name="Documentos relacionados" dataDxfId="1"/>
    <tableColumn id="13" xr3:uid="{CBC6691B-412C-4CFC-BDA7-E241B5BA94E2}" name="Observações" dataDxfId="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DCB4B9-4E32-4004-9159-60AF9E55BEF8}" name="Table001__Page_4" displayName="Table001__Page_4" ref="A1:F7" tableType="queryTable" totalsRowShown="0">
  <autoFilter ref="A1:F7" xr:uid="{95DCB4B9-4E32-4004-9159-60AF9E55BEF8}"/>
  <tableColumns count="6">
    <tableColumn id="1" xr3:uid="{DC885874-4A9B-47D3-BC3E-DE694054E51E}" uniqueName="1" name="Item" queryTableFieldId="1"/>
    <tableColumn id="2" xr3:uid="{1AABE2FD-6E68-4C83-B5E0-EE873E7D4249}" uniqueName="2" name="Marcos/Etapas" queryTableFieldId="2" dataDxfId="13"/>
    <tableColumn id="3" xr3:uid="{53778B2C-9871-47BB-B5A0-9A550B80AD1F}" uniqueName="3" name="Descrição" queryTableFieldId="3" dataDxfId="12"/>
    <tableColumn id="4" xr3:uid="{F7884339-CF32-408B-B4CD-9E8EFCB090B3}" uniqueName="4" name="Responsável" queryTableFieldId="4" dataDxfId="11"/>
    <tableColumn id="5" xr3:uid="{F3659D9B-F80A-4C7E-BA2A-9A518A161418}" uniqueName="5" name="Data Início" queryTableFieldId="5" dataDxfId="10"/>
    <tableColumn id="6" xr3:uid="{320F4D0B-366E-4B8F-8A7D-B2BBA4AFC299}" uniqueName="6" name="Data Término" queryTableFieldId="6" dataDxf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E68F50-D464-4DF7-AD69-5317640B1542}" name="Table002__Page_2" displayName="Table002__Page_2" ref="A1:F18" tableType="queryTable" totalsRowShown="0">
  <autoFilter ref="A1:F18" xr:uid="{C7E68F50-D464-4DF7-AD69-5317640B1542}"/>
  <tableColumns count="6">
    <tableColumn id="1" xr3:uid="{FCF84BD0-511A-4D1E-96AD-FEF6A681ACBE}" uniqueName="1" name="Item" queryTableFieldId="1" dataDxfId="8"/>
    <tableColumn id="2" xr3:uid="{DB918188-7A02-46C9-9953-045ED2080CDD}" uniqueName="2" name="Marcos/Etapas" queryTableFieldId="2" dataDxfId="7"/>
    <tableColumn id="3" xr3:uid="{CC5D6E48-0037-4969-BB2F-D822CE09DEA2}" uniqueName="3" name="Descrição" queryTableFieldId="3" dataDxfId="6"/>
    <tableColumn id="4" xr3:uid="{92C5A048-5773-419E-9585-0B16BDFCA9E7}" uniqueName="4" name="Responsável" queryTableFieldId="4" dataDxfId="5"/>
    <tableColumn id="5" xr3:uid="{6AC0623E-4071-4E6B-87B8-854525A822AE}" uniqueName="5" name="Data_x000a_Início" queryTableFieldId="5" dataDxfId="4"/>
    <tableColumn id="6" xr3:uid="{0AFCC045-C046-4E86-B2B1-C0DF160DD8F4}" uniqueName="6" name="Data_x000a_Término" queryTableFieldId="6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sccggabinete@fazenda.mg.gov.b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68B26-533E-407F-968B-94DAFEC574A7}">
  <sheetPr codeName="Planilha2"/>
  <dimension ref="A1:XFB2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ColWidth="0" defaultRowHeight="15" zeroHeight="1" x14ac:dyDescent="0.25"/>
  <cols>
    <col min="1" max="3" width="87.42578125" customWidth="1"/>
    <col min="4" max="16382" width="9.140625" hidden="1"/>
    <col min="16383" max="16384" width="6.42578125" hidden="1"/>
  </cols>
  <sheetData>
    <row r="1" spans="1:3" x14ac:dyDescent="0.25">
      <c r="A1" s="6" t="s">
        <v>190</v>
      </c>
      <c r="B1" s="6" t="s">
        <v>192</v>
      </c>
      <c r="C1" s="6" t="s">
        <v>191</v>
      </c>
    </row>
    <row r="2" spans="1:3" s="8" customFormat="1" ht="330" x14ac:dyDescent="0.25">
      <c r="A2" s="7" t="s">
        <v>405</v>
      </c>
      <c r="B2" s="7" t="s">
        <v>406</v>
      </c>
      <c r="C2" s="7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46F74-40A5-482F-B2BE-8D8D26095E51}">
  <sheetPr codeName="Planilha1"/>
  <dimension ref="A1:I97"/>
  <sheetViews>
    <sheetView tabSelected="1" zoomScaleNormal="100" workbookViewId="0">
      <pane ySplit="1" topLeftCell="A2" activePane="bottomLeft" state="frozen"/>
      <selection pane="bottomLeft" activeCell="C23" sqref="C23"/>
    </sheetView>
  </sheetViews>
  <sheetFormatPr defaultRowHeight="15" x14ac:dyDescent="0.25"/>
  <cols>
    <col min="1" max="1" width="15.28515625" customWidth="1"/>
    <col min="2" max="2" width="21.7109375" customWidth="1"/>
    <col min="3" max="3" width="11.7109375" customWidth="1"/>
    <col min="5" max="5" width="14.28515625" customWidth="1"/>
    <col min="6" max="6" width="21.42578125" customWidth="1"/>
    <col min="7" max="7" width="15" customWidth="1"/>
    <col min="8" max="8" width="13" bestFit="1" customWidth="1"/>
    <col min="9" max="9" width="16.28515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4" t="s">
        <v>10</v>
      </c>
      <c r="B2" s="5">
        <v>1</v>
      </c>
      <c r="C2" s="4" t="s">
        <v>11</v>
      </c>
      <c r="D2" s="4" t="s">
        <v>402</v>
      </c>
      <c r="E2" s="2"/>
      <c r="F2" s="2" t="s">
        <v>12</v>
      </c>
      <c r="G2" s="3">
        <v>45705</v>
      </c>
      <c r="H2" s="3">
        <v>45807</v>
      </c>
      <c r="I2" s="2"/>
    </row>
    <row r="3" spans="1:9" x14ac:dyDescent="0.25">
      <c r="A3" s="4" t="s">
        <v>10</v>
      </c>
      <c r="B3" s="5" t="s">
        <v>13</v>
      </c>
      <c r="C3" s="4" t="s">
        <v>14</v>
      </c>
      <c r="D3" s="4" t="s">
        <v>402</v>
      </c>
      <c r="E3" s="2"/>
      <c r="F3" s="2" t="s">
        <v>129</v>
      </c>
      <c r="G3" s="3">
        <v>45758</v>
      </c>
      <c r="H3" s="3">
        <v>45807</v>
      </c>
      <c r="I3" s="2"/>
    </row>
    <row r="4" spans="1:9" ht="60" x14ac:dyDescent="0.25">
      <c r="A4" s="4" t="s">
        <v>10</v>
      </c>
      <c r="B4" s="5" t="s">
        <v>15</v>
      </c>
      <c r="C4" s="4" t="s">
        <v>16</v>
      </c>
      <c r="D4" s="4" t="s">
        <v>402</v>
      </c>
      <c r="E4" s="2"/>
      <c r="F4" s="2" t="s">
        <v>130</v>
      </c>
      <c r="G4" s="3">
        <v>45705</v>
      </c>
      <c r="H4" s="3">
        <v>45838</v>
      </c>
      <c r="I4" s="2" t="s">
        <v>169</v>
      </c>
    </row>
    <row r="5" spans="1:9" x14ac:dyDescent="0.25">
      <c r="A5" s="4" t="s">
        <v>10</v>
      </c>
      <c r="B5" s="5" t="s">
        <v>17</v>
      </c>
      <c r="C5" s="4" t="s">
        <v>18</v>
      </c>
      <c r="D5" s="4" t="s">
        <v>402</v>
      </c>
      <c r="E5" s="2"/>
      <c r="F5" s="2" t="s">
        <v>131</v>
      </c>
      <c r="G5" s="3">
        <v>45839</v>
      </c>
      <c r="H5" s="3">
        <v>45842</v>
      </c>
      <c r="I5" s="2"/>
    </row>
    <row r="6" spans="1:9" x14ac:dyDescent="0.25">
      <c r="A6" s="4" t="s">
        <v>10</v>
      </c>
      <c r="B6" s="5">
        <v>2</v>
      </c>
      <c r="C6" s="4" t="s">
        <v>19</v>
      </c>
      <c r="D6" s="4" t="s">
        <v>402</v>
      </c>
      <c r="E6" s="2"/>
      <c r="F6" s="2" t="s">
        <v>12</v>
      </c>
      <c r="G6" s="3">
        <v>45839</v>
      </c>
      <c r="H6" s="3">
        <v>45901</v>
      </c>
      <c r="I6" s="2"/>
    </row>
    <row r="7" spans="1:9" ht="90" x14ac:dyDescent="0.25">
      <c r="A7" s="4" t="s">
        <v>10</v>
      </c>
      <c r="B7" s="5" t="s">
        <v>20</v>
      </c>
      <c r="C7" s="4" t="s">
        <v>21</v>
      </c>
      <c r="D7" s="4" t="s">
        <v>402</v>
      </c>
      <c r="E7" s="2"/>
      <c r="F7" s="2" t="s">
        <v>130</v>
      </c>
      <c r="G7" s="3">
        <v>45839</v>
      </c>
      <c r="H7" s="3">
        <v>45901</v>
      </c>
      <c r="I7" s="2" t="s">
        <v>170</v>
      </c>
    </row>
    <row r="8" spans="1:9" x14ac:dyDescent="0.25">
      <c r="A8" s="4" t="s">
        <v>10</v>
      </c>
      <c r="B8" s="5" t="s">
        <v>22</v>
      </c>
      <c r="C8" s="4" t="s">
        <v>18</v>
      </c>
      <c r="D8" s="4" t="s">
        <v>402</v>
      </c>
      <c r="E8" s="2"/>
      <c r="F8" s="2" t="s">
        <v>131</v>
      </c>
      <c r="G8" s="3">
        <v>45901</v>
      </c>
      <c r="H8" s="3">
        <v>45905</v>
      </c>
      <c r="I8" s="2"/>
    </row>
    <row r="9" spans="1:9" x14ac:dyDescent="0.25">
      <c r="A9" s="4" t="s">
        <v>10</v>
      </c>
      <c r="B9" s="5">
        <v>3</v>
      </c>
      <c r="C9" s="4" t="s">
        <v>23</v>
      </c>
      <c r="D9" s="4" t="s">
        <v>402</v>
      </c>
      <c r="E9" s="2"/>
      <c r="F9" s="2" t="s">
        <v>131</v>
      </c>
      <c r="G9" s="3">
        <v>45789</v>
      </c>
      <c r="H9" s="3">
        <v>45793</v>
      </c>
      <c r="I9" s="2"/>
    </row>
    <row r="10" spans="1:9" x14ac:dyDescent="0.25">
      <c r="A10" s="4" t="s">
        <v>10</v>
      </c>
      <c r="B10" s="5">
        <v>4</v>
      </c>
      <c r="C10" s="4" t="s">
        <v>24</v>
      </c>
      <c r="D10" s="4" t="s">
        <v>402</v>
      </c>
      <c r="E10" s="2"/>
      <c r="F10" s="2" t="s">
        <v>12</v>
      </c>
      <c r="G10" s="3">
        <v>45735</v>
      </c>
      <c r="H10" s="3">
        <v>45807</v>
      </c>
      <c r="I10" s="2"/>
    </row>
    <row r="11" spans="1:9" x14ac:dyDescent="0.25">
      <c r="A11" s="4" t="s">
        <v>10</v>
      </c>
      <c r="B11" s="5" t="s">
        <v>25</v>
      </c>
      <c r="C11" s="4" t="s">
        <v>26</v>
      </c>
      <c r="D11" s="4" t="s">
        <v>402</v>
      </c>
      <c r="E11" s="2"/>
      <c r="F11" s="2" t="s">
        <v>132</v>
      </c>
      <c r="G11" s="3">
        <v>45735</v>
      </c>
      <c r="H11" s="3">
        <v>45807</v>
      </c>
      <c r="I11" s="2"/>
    </row>
    <row r="12" spans="1:9" x14ac:dyDescent="0.25">
      <c r="A12" s="4" t="s">
        <v>10</v>
      </c>
      <c r="B12" s="5" t="s">
        <v>27</v>
      </c>
      <c r="C12" s="4" t="s">
        <v>28</v>
      </c>
      <c r="D12" s="4" t="s">
        <v>402</v>
      </c>
      <c r="E12" s="2"/>
      <c r="F12" s="2" t="s">
        <v>131</v>
      </c>
      <c r="G12" s="3">
        <v>45784</v>
      </c>
      <c r="H12" s="3">
        <v>45821</v>
      </c>
      <c r="I12" s="2"/>
    </row>
    <row r="13" spans="1:9" ht="60" x14ac:dyDescent="0.25">
      <c r="A13" s="4" t="s">
        <v>10</v>
      </c>
      <c r="B13" s="5" t="s">
        <v>29</v>
      </c>
      <c r="C13" s="4" t="s">
        <v>30</v>
      </c>
      <c r="D13" s="4" t="s">
        <v>402</v>
      </c>
      <c r="E13" s="2"/>
      <c r="F13" s="2" t="s">
        <v>131</v>
      </c>
      <c r="G13" s="3">
        <v>45784</v>
      </c>
      <c r="H13" s="3">
        <v>45821</v>
      </c>
      <c r="I13" s="2" t="s">
        <v>171</v>
      </c>
    </row>
    <row r="14" spans="1:9" x14ac:dyDescent="0.25">
      <c r="A14" s="4" t="s">
        <v>10</v>
      </c>
      <c r="B14" s="5">
        <v>5</v>
      </c>
      <c r="C14" s="4" t="s">
        <v>31</v>
      </c>
      <c r="D14" s="4" t="s">
        <v>402</v>
      </c>
      <c r="E14" s="2"/>
      <c r="F14" s="2" t="s">
        <v>133</v>
      </c>
      <c r="G14" s="3">
        <v>45791</v>
      </c>
      <c r="H14" s="3">
        <v>45807</v>
      </c>
      <c r="I14" s="2"/>
    </row>
    <row r="15" spans="1:9" x14ac:dyDescent="0.25">
      <c r="A15" s="4" t="s">
        <v>10</v>
      </c>
      <c r="B15" s="5">
        <v>6</v>
      </c>
      <c r="C15" s="4" t="s">
        <v>32</v>
      </c>
      <c r="D15" s="4" t="s">
        <v>402</v>
      </c>
      <c r="E15" s="2"/>
      <c r="F15" s="2" t="s">
        <v>134</v>
      </c>
      <c r="G15" s="3">
        <v>45782</v>
      </c>
      <c r="H15" s="3">
        <v>45818</v>
      </c>
      <c r="I15" s="2"/>
    </row>
    <row r="16" spans="1:9" x14ac:dyDescent="0.25">
      <c r="A16" s="4" t="s">
        <v>33</v>
      </c>
      <c r="B16" s="5">
        <v>1</v>
      </c>
      <c r="C16" s="4" t="s">
        <v>34</v>
      </c>
      <c r="D16" s="4" t="s">
        <v>35</v>
      </c>
      <c r="E16" s="2"/>
      <c r="F16" s="2" t="s">
        <v>135</v>
      </c>
      <c r="G16" s="3">
        <v>45717</v>
      </c>
      <c r="H16" s="3">
        <v>46357</v>
      </c>
      <c r="I16" s="2"/>
    </row>
    <row r="17" spans="1:9" ht="30" x14ac:dyDescent="0.25">
      <c r="A17" s="4" t="s">
        <v>33</v>
      </c>
      <c r="B17" s="5" t="s">
        <v>13</v>
      </c>
      <c r="C17" s="4" t="s">
        <v>36</v>
      </c>
      <c r="D17" s="4" t="s">
        <v>37</v>
      </c>
      <c r="E17" s="2"/>
      <c r="F17" s="2" t="s">
        <v>136</v>
      </c>
      <c r="G17" s="3">
        <v>45627</v>
      </c>
      <c r="H17" s="3"/>
      <c r="I17" s="2" t="s">
        <v>172</v>
      </c>
    </row>
    <row r="18" spans="1:9" x14ac:dyDescent="0.25">
      <c r="A18" s="4" t="s">
        <v>33</v>
      </c>
      <c r="B18" s="5" t="s">
        <v>15</v>
      </c>
      <c r="C18" s="4" t="s">
        <v>38</v>
      </c>
      <c r="D18" s="4" t="s">
        <v>35</v>
      </c>
      <c r="E18" s="2"/>
      <c r="F18" s="2" t="s">
        <v>136</v>
      </c>
      <c r="G18" s="3">
        <v>45870</v>
      </c>
      <c r="H18" s="3">
        <v>45992</v>
      </c>
      <c r="I18" s="2"/>
    </row>
    <row r="19" spans="1:9" ht="30" x14ac:dyDescent="0.25">
      <c r="A19" s="4" t="s">
        <v>33</v>
      </c>
      <c r="B19" s="5" t="s">
        <v>17</v>
      </c>
      <c r="C19" s="4" t="s">
        <v>39</v>
      </c>
      <c r="D19" s="4" t="s">
        <v>402</v>
      </c>
      <c r="E19" s="2"/>
      <c r="F19" s="2" t="s">
        <v>136</v>
      </c>
      <c r="G19" s="3">
        <v>46023</v>
      </c>
      <c r="H19" s="3">
        <v>46174</v>
      </c>
      <c r="I19" s="2" t="s">
        <v>172</v>
      </c>
    </row>
    <row r="20" spans="1:9" x14ac:dyDescent="0.25">
      <c r="A20" s="4" t="s">
        <v>33</v>
      </c>
      <c r="B20" s="5" t="s">
        <v>41</v>
      </c>
      <c r="C20" s="4" t="s">
        <v>42</v>
      </c>
      <c r="D20" s="4" t="s">
        <v>35</v>
      </c>
      <c r="E20" s="2"/>
      <c r="F20" s="2" t="s">
        <v>137</v>
      </c>
      <c r="G20" s="3">
        <v>45839</v>
      </c>
      <c r="H20" s="3">
        <v>45992</v>
      </c>
      <c r="I20" s="2"/>
    </row>
    <row r="21" spans="1:9" ht="75" x14ac:dyDescent="0.25">
      <c r="A21" s="4" t="s">
        <v>33</v>
      </c>
      <c r="B21" s="5" t="s">
        <v>43</v>
      </c>
      <c r="C21" s="4" t="s">
        <v>44</v>
      </c>
      <c r="D21" s="4" t="s">
        <v>35</v>
      </c>
      <c r="E21" s="2"/>
      <c r="F21" s="2" t="s">
        <v>138</v>
      </c>
      <c r="G21" s="3">
        <v>45717</v>
      </c>
      <c r="H21" s="3">
        <v>45992</v>
      </c>
      <c r="I21" s="2" t="s">
        <v>173</v>
      </c>
    </row>
    <row r="22" spans="1:9" x14ac:dyDescent="0.25">
      <c r="A22" s="4" t="s">
        <v>33</v>
      </c>
      <c r="B22" s="5" t="s">
        <v>45</v>
      </c>
      <c r="C22" s="4" t="s">
        <v>46</v>
      </c>
      <c r="D22" s="4" t="s">
        <v>35</v>
      </c>
      <c r="E22" s="2"/>
      <c r="F22" s="2" t="s">
        <v>138</v>
      </c>
      <c r="G22" s="3">
        <v>45717</v>
      </c>
      <c r="H22" s="3">
        <v>45931</v>
      </c>
      <c r="I22" s="2"/>
    </row>
    <row r="23" spans="1:9" ht="75" x14ac:dyDescent="0.25">
      <c r="A23" s="4" t="s">
        <v>33</v>
      </c>
      <c r="B23" s="5" t="s">
        <v>47</v>
      </c>
      <c r="C23" s="4" t="s">
        <v>48</v>
      </c>
      <c r="D23" s="4" t="s">
        <v>402</v>
      </c>
      <c r="E23" s="2"/>
      <c r="F23" s="2" t="s">
        <v>139</v>
      </c>
      <c r="G23" s="3">
        <v>46023</v>
      </c>
      <c r="H23" s="3">
        <v>46357</v>
      </c>
      <c r="I23" s="2" t="s">
        <v>174</v>
      </c>
    </row>
    <row r="24" spans="1:9" x14ac:dyDescent="0.25">
      <c r="A24" s="4" t="s">
        <v>33</v>
      </c>
      <c r="B24" s="5">
        <v>2</v>
      </c>
      <c r="C24" s="4" t="s">
        <v>49</v>
      </c>
      <c r="D24" s="4" t="s">
        <v>35</v>
      </c>
      <c r="E24" s="2"/>
      <c r="F24" s="2" t="s">
        <v>140</v>
      </c>
      <c r="G24" s="3">
        <v>45444</v>
      </c>
      <c r="H24" s="3">
        <v>45992</v>
      </c>
      <c r="I24" s="2"/>
    </row>
    <row r="25" spans="1:9" x14ac:dyDescent="0.25">
      <c r="A25" s="4" t="s">
        <v>33</v>
      </c>
      <c r="B25" s="5" t="s">
        <v>20</v>
      </c>
      <c r="C25" s="4" t="s">
        <v>50</v>
      </c>
      <c r="D25" s="4" t="s">
        <v>37</v>
      </c>
      <c r="E25" s="2"/>
      <c r="F25" s="2" t="s">
        <v>140</v>
      </c>
      <c r="G25" s="3">
        <v>45444</v>
      </c>
      <c r="H25" s="3">
        <v>45689</v>
      </c>
      <c r="I25" s="2"/>
    </row>
    <row r="26" spans="1:9" x14ac:dyDescent="0.25">
      <c r="A26" s="4" t="s">
        <v>33</v>
      </c>
      <c r="B26" s="5" t="s">
        <v>22</v>
      </c>
      <c r="C26" s="4" t="s">
        <v>52</v>
      </c>
      <c r="D26" s="4" t="s">
        <v>35</v>
      </c>
      <c r="E26" s="2"/>
      <c r="F26" s="2" t="s">
        <v>138</v>
      </c>
      <c r="G26" s="3">
        <v>45717</v>
      </c>
      <c r="H26" s="3">
        <v>45931</v>
      </c>
      <c r="I26" s="2"/>
    </row>
    <row r="27" spans="1:9" x14ac:dyDescent="0.25">
      <c r="A27" s="4" t="s">
        <v>33</v>
      </c>
      <c r="B27" s="5" t="s">
        <v>53</v>
      </c>
      <c r="C27" s="4" t="s">
        <v>54</v>
      </c>
      <c r="D27" s="4" t="s">
        <v>35</v>
      </c>
      <c r="E27" s="2"/>
      <c r="F27" s="2" t="s">
        <v>141</v>
      </c>
      <c r="G27" s="3">
        <v>45809</v>
      </c>
      <c r="H27" s="3">
        <v>45992</v>
      </c>
      <c r="I27" s="2"/>
    </row>
    <row r="28" spans="1:9" x14ac:dyDescent="0.25">
      <c r="A28" s="4" t="s">
        <v>33</v>
      </c>
      <c r="B28" s="5">
        <v>3</v>
      </c>
      <c r="C28" s="4" t="s">
        <v>55</v>
      </c>
      <c r="D28" s="4" t="s">
        <v>35</v>
      </c>
      <c r="E28" s="2"/>
      <c r="F28" s="2" t="s">
        <v>138</v>
      </c>
      <c r="G28" s="3">
        <v>45717</v>
      </c>
      <c r="H28" s="3">
        <v>46357</v>
      </c>
      <c r="I28" s="2"/>
    </row>
    <row r="29" spans="1:9" ht="30" x14ac:dyDescent="0.25">
      <c r="A29" s="4" t="s">
        <v>33</v>
      </c>
      <c r="B29" s="5" t="s">
        <v>56</v>
      </c>
      <c r="C29" s="4" t="s">
        <v>57</v>
      </c>
      <c r="D29" s="4" t="s">
        <v>35</v>
      </c>
      <c r="E29" s="2"/>
      <c r="F29" s="2" t="s">
        <v>142</v>
      </c>
      <c r="G29" s="3">
        <v>45717</v>
      </c>
      <c r="H29" s="3">
        <v>45992</v>
      </c>
      <c r="I29" s="2" t="s">
        <v>172</v>
      </c>
    </row>
    <row r="30" spans="1:9" ht="75" x14ac:dyDescent="0.25">
      <c r="A30" s="4" t="s">
        <v>33</v>
      </c>
      <c r="B30" s="5" t="s">
        <v>58</v>
      </c>
      <c r="C30" s="4" t="s">
        <v>59</v>
      </c>
      <c r="D30" s="4" t="s">
        <v>402</v>
      </c>
      <c r="E30" s="2"/>
      <c r="F30" s="2" t="s">
        <v>143</v>
      </c>
      <c r="G30" s="3">
        <v>46023</v>
      </c>
      <c r="H30" s="3">
        <v>46357</v>
      </c>
      <c r="I30" s="2" t="s">
        <v>174</v>
      </c>
    </row>
    <row r="31" spans="1:9" ht="30" x14ac:dyDescent="0.25">
      <c r="A31" s="4" t="s">
        <v>33</v>
      </c>
      <c r="B31" s="5">
        <v>4</v>
      </c>
      <c r="C31" s="4" t="s">
        <v>60</v>
      </c>
      <c r="D31" s="4" t="s">
        <v>35</v>
      </c>
      <c r="E31" s="2"/>
      <c r="F31" s="2" t="s">
        <v>143</v>
      </c>
      <c r="G31" s="3">
        <v>45717</v>
      </c>
      <c r="H31" s="3">
        <v>46357</v>
      </c>
      <c r="I31" s="2"/>
    </row>
    <row r="32" spans="1:9" ht="30" x14ac:dyDescent="0.25">
      <c r="A32" s="4" t="s">
        <v>33</v>
      </c>
      <c r="B32" s="5" t="s">
        <v>25</v>
      </c>
      <c r="C32" s="4" t="s">
        <v>61</v>
      </c>
      <c r="D32" s="4" t="s">
        <v>35</v>
      </c>
      <c r="E32" s="2"/>
      <c r="F32" s="2" t="s">
        <v>143</v>
      </c>
      <c r="G32" s="3">
        <v>45717</v>
      </c>
      <c r="H32" s="3">
        <v>45992</v>
      </c>
      <c r="I32" s="2"/>
    </row>
    <row r="33" spans="1:9" ht="30" x14ac:dyDescent="0.25">
      <c r="A33" s="4" t="s">
        <v>33</v>
      </c>
      <c r="B33" s="5" t="s">
        <v>27</v>
      </c>
      <c r="C33" s="4" t="s">
        <v>62</v>
      </c>
      <c r="D33" s="4" t="s">
        <v>402</v>
      </c>
      <c r="E33" s="2"/>
      <c r="F33" s="2" t="s">
        <v>143</v>
      </c>
      <c r="G33" s="3">
        <v>46023</v>
      </c>
      <c r="H33" s="3">
        <v>46357</v>
      </c>
      <c r="I33" s="2"/>
    </row>
    <row r="34" spans="1:9" ht="30" x14ac:dyDescent="0.25">
      <c r="A34" s="4" t="s">
        <v>33</v>
      </c>
      <c r="B34" s="5">
        <v>5</v>
      </c>
      <c r="C34" s="4" t="s">
        <v>63</v>
      </c>
      <c r="D34" s="4" t="s">
        <v>402</v>
      </c>
      <c r="E34" s="2"/>
      <c r="F34" s="2" t="s">
        <v>143</v>
      </c>
      <c r="G34" s="3">
        <v>46023</v>
      </c>
      <c r="H34" s="3">
        <v>46357</v>
      </c>
      <c r="I34" s="2"/>
    </row>
    <row r="35" spans="1:9" ht="30" x14ac:dyDescent="0.25">
      <c r="A35" s="4" t="s">
        <v>33</v>
      </c>
      <c r="B35" s="5" t="s">
        <v>64</v>
      </c>
      <c r="C35" s="4" t="s">
        <v>65</v>
      </c>
      <c r="D35" s="4" t="s">
        <v>402</v>
      </c>
      <c r="E35" s="2"/>
      <c r="F35" s="2" t="s">
        <v>143</v>
      </c>
      <c r="G35" s="3">
        <v>46023</v>
      </c>
      <c r="H35" s="3">
        <v>46204</v>
      </c>
      <c r="I35" s="2"/>
    </row>
    <row r="36" spans="1:9" ht="30" x14ac:dyDescent="0.25">
      <c r="A36" s="4" t="s">
        <v>33</v>
      </c>
      <c r="B36" s="5" t="s">
        <v>66</v>
      </c>
      <c r="C36" s="4" t="s">
        <v>67</v>
      </c>
      <c r="D36" s="4" t="s">
        <v>402</v>
      </c>
      <c r="E36" s="2"/>
      <c r="F36" s="2" t="s">
        <v>143</v>
      </c>
      <c r="G36" s="3">
        <v>46235</v>
      </c>
      <c r="H36" s="3">
        <v>46327</v>
      </c>
      <c r="I36" s="2"/>
    </row>
    <row r="37" spans="1:9" ht="30" x14ac:dyDescent="0.25">
      <c r="A37" s="4" t="s">
        <v>33</v>
      </c>
      <c r="B37" s="5" t="s">
        <v>68</v>
      </c>
      <c r="C37" s="4" t="s">
        <v>69</v>
      </c>
      <c r="D37" s="4" t="s">
        <v>402</v>
      </c>
      <c r="E37" s="2"/>
      <c r="F37" s="2" t="s">
        <v>143</v>
      </c>
      <c r="G37" s="3">
        <v>46357</v>
      </c>
      <c r="H37" s="3">
        <v>46357</v>
      </c>
      <c r="I37" s="2"/>
    </row>
    <row r="38" spans="1:9" x14ac:dyDescent="0.25">
      <c r="A38" s="4" t="s">
        <v>33</v>
      </c>
      <c r="B38" s="5">
        <v>6</v>
      </c>
      <c r="C38" s="4" t="s">
        <v>70</v>
      </c>
      <c r="D38" s="4" t="s">
        <v>402</v>
      </c>
      <c r="E38" s="2"/>
      <c r="F38" s="2" t="s">
        <v>144</v>
      </c>
      <c r="G38" s="3">
        <v>46388</v>
      </c>
      <c r="H38" s="3">
        <v>46813</v>
      </c>
      <c r="I38" s="2"/>
    </row>
    <row r="39" spans="1:9" x14ac:dyDescent="0.25">
      <c r="A39" s="4" t="s">
        <v>33</v>
      </c>
      <c r="B39" s="5" t="s">
        <v>71</v>
      </c>
      <c r="C39" s="4" t="s">
        <v>72</v>
      </c>
      <c r="D39" s="4" t="s">
        <v>402</v>
      </c>
      <c r="E39" s="2"/>
      <c r="F39" s="2" t="s">
        <v>145</v>
      </c>
      <c r="G39" s="3">
        <v>46388</v>
      </c>
      <c r="H39" s="3">
        <v>46539</v>
      </c>
      <c r="I39" s="2"/>
    </row>
    <row r="40" spans="1:9" x14ac:dyDescent="0.25">
      <c r="A40" s="4" t="s">
        <v>33</v>
      </c>
      <c r="B40" s="5" t="s">
        <v>73</v>
      </c>
      <c r="C40" s="4" t="s">
        <v>74</v>
      </c>
      <c r="D40" s="4" t="s">
        <v>402</v>
      </c>
      <c r="E40" s="2"/>
      <c r="F40" s="2" t="s">
        <v>141</v>
      </c>
      <c r="G40" s="3">
        <v>46569</v>
      </c>
      <c r="H40" s="3">
        <v>46600</v>
      </c>
      <c r="I40" s="2"/>
    </row>
    <row r="41" spans="1:9" x14ac:dyDescent="0.25">
      <c r="A41" s="4" t="s">
        <v>33</v>
      </c>
      <c r="B41" s="5" t="s">
        <v>75</v>
      </c>
      <c r="C41" s="4" t="s">
        <v>76</v>
      </c>
      <c r="D41" s="4" t="s">
        <v>402</v>
      </c>
      <c r="E41" s="2"/>
      <c r="F41" s="2" t="s">
        <v>141</v>
      </c>
      <c r="G41" s="3">
        <v>46631</v>
      </c>
      <c r="H41" s="3">
        <v>46722</v>
      </c>
      <c r="I41" s="2"/>
    </row>
    <row r="42" spans="1:9" x14ac:dyDescent="0.25">
      <c r="A42" s="4" t="s">
        <v>33</v>
      </c>
      <c r="B42" s="5" t="s">
        <v>77</v>
      </c>
      <c r="C42" s="4" t="s">
        <v>78</v>
      </c>
      <c r="D42" s="4" t="s">
        <v>402</v>
      </c>
      <c r="E42" s="2"/>
      <c r="F42" s="2" t="s">
        <v>141</v>
      </c>
      <c r="G42" s="3">
        <v>46753</v>
      </c>
      <c r="H42" s="3">
        <v>46813</v>
      </c>
      <c r="I42" s="2"/>
    </row>
    <row r="43" spans="1:9" x14ac:dyDescent="0.25">
      <c r="A43" s="4" t="s">
        <v>33</v>
      </c>
      <c r="B43" s="5">
        <v>7</v>
      </c>
      <c r="C43" s="4" t="s">
        <v>79</v>
      </c>
      <c r="D43" s="4" t="s">
        <v>402</v>
      </c>
      <c r="E43" s="2"/>
      <c r="F43" s="2" t="s">
        <v>140</v>
      </c>
      <c r="G43" s="3">
        <v>46023</v>
      </c>
      <c r="H43" s="3">
        <v>46174</v>
      </c>
      <c r="I43" s="2"/>
    </row>
    <row r="44" spans="1:9" ht="75" x14ac:dyDescent="0.25">
      <c r="A44" s="2" t="s">
        <v>397</v>
      </c>
      <c r="B44" s="5">
        <v>1</v>
      </c>
      <c r="C44" s="4" t="s">
        <v>80</v>
      </c>
      <c r="D44" s="4" t="s">
        <v>402</v>
      </c>
      <c r="E44" s="2" t="s">
        <v>146</v>
      </c>
      <c r="F44" s="2" t="s">
        <v>147</v>
      </c>
      <c r="G44" s="3">
        <v>45930</v>
      </c>
      <c r="H44" s="3"/>
      <c r="I44" s="2" t="s">
        <v>175</v>
      </c>
    </row>
    <row r="45" spans="1:9" ht="210" x14ac:dyDescent="0.25">
      <c r="A45" s="2" t="s">
        <v>397</v>
      </c>
      <c r="B45" s="5">
        <v>2</v>
      </c>
      <c r="C45" s="4" t="s">
        <v>81</v>
      </c>
      <c r="D45" s="4" t="s">
        <v>402</v>
      </c>
      <c r="E45" s="2" t="s">
        <v>148</v>
      </c>
      <c r="F45" s="2" t="s">
        <v>149</v>
      </c>
      <c r="G45" s="3">
        <v>45953</v>
      </c>
      <c r="H45" s="3"/>
      <c r="I45" s="2" t="s">
        <v>176</v>
      </c>
    </row>
    <row r="46" spans="1:9" ht="409.5" x14ac:dyDescent="0.25">
      <c r="A46" s="2" t="s">
        <v>397</v>
      </c>
      <c r="B46" s="5" t="s">
        <v>20</v>
      </c>
      <c r="C46" s="4" t="s">
        <v>82</v>
      </c>
      <c r="D46" s="4" t="s">
        <v>402</v>
      </c>
      <c r="E46" s="2" t="s">
        <v>150</v>
      </c>
      <c r="F46" s="2" t="s">
        <v>149</v>
      </c>
      <c r="G46" s="3">
        <v>45850</v>
      </c>
      <c r="H46" s="3"/>
      <c r="I46" s="2" t="s">
        <v>177</v>
      </c>
    </row>
    <row r="47" spans="1:9" ht="120" x14ac:dyDescent="0.25">
      <c r="A47" s="2" t="s">
        <v>397</v>
      </c>
      <c r="B47" s="5" t="s">
        <v>22</v>
      </c>
      <c r="C47" s="4" t="s">
        <v>83</v>
      </c>
      <c r="D47" s="4" t="s">
        <v>402</v>
      </c>
      <c r="E47" s="2" t="s">
        <v>151</v>
      </c>
      <c r="F47" s="2" t="s">
        <v>149</v>
      </c>
      <c r="G47" s="3">
        <v>45850</v>
      </c>
      <c r="H47" s="3"/>
      <c r="I47" s="2" t="s">
        <v>178</v>
      </c>
    </row>
    <row r="48" spans="1:9" ht="135" x14ac:dyDescent="0.25">
      <c r="A48" s="2" t="s">
        <v>397</v>
      </c>
      <c r="B48" s="5" t="s">
        <v>53</v>
      </c>
      <c r="C48" s="4" t="s">
        <v>84</v>
      </c>
      <c r="D48" s="4" t="s">
        <v>402</v>
      </c>
      <c r="E48" s="2" t="s">
        <v>151</v>
      </c>
      <c r="F48" s="2" t="s">
        <v>149</v>
      </c>
      <c r="G48" s="3">
        <v>45850</v>
      </c>
      <c r="H48" s="3"/>
      <c r="I48" s="2" t="s">
        <v>179</v>
      </c>
    </row>
    <row r="49" spans="1:9" ht="75" x14ac:dyDescent="0.25">
      <c r="A49" s="2" t="s">
        <v>397</v>
      </c>
      <c r="B49" s="5" t="s">
        <v>85</v>
      </c>
      <c r="C49" s="4" t="s">
        <v>86</v>
      </c>
      <c r="D49" s="4" t="s">
        <v>402</v>
      </c>
      <c r="E49" s="2" t="s">
        <v>152</v>
      </c>
      <c r="F49" s="2" t="s">
        <v>149</v>
      </c>
      <c r="G49" s="3">
        <v>45881</v>
      </c>
      <c r="H49" s="3"/>
      <c r="I49" s="2" t="s">
        <v>180</v>
      </c>
    </row>
    <row r="50" spans="1:9" ht="75" x14ac:dyDescent="0.25">
      <c r="A50" s="2" t="s">
        <v>397</v>
      </c>
      <c r="B50" s="5" t="s">
        <v>87</v>
      </c>
      <c r="C50" s="4" t="s">
        <v>88</v>
      </c>
      <c r="D50" s="4" t="s">
        <v>402</v>
      </c>
      <c r="E50" s="2" t="s">
        <v>152</v>
      </c>
      <c r="F50" s="2" t="s">
        <v>149</v>
      </c>
      <c r="G50" s="3">
        <v>45916</v>
      </c>
      <c r="H50" s="3"/>
      <c r="I50" s="2" t="s">
        <v>181</v>
      </c>
    </row>
    <row r="51" spans="1:9" ht="30" x14ac:dyDescent="0.25">
      <c r="A51" s="2" t="s">
        <v>397</v>
      </c>
      <c r="B51" s="5" t="s">
        <v>89</v>
      </c>
      <c r="C51" s="4" t="s">
        <v>90</v>
      </c>
      <c r="D51" s="4" t="s">
        <v>402</v>
      </c>
      <c r="E51" s="2" t="s">
        <v>148</v>
      </c>
      <c r="F51" s="2" t="s">
        <v>149</v>
      </c>
      <c r="G51" s="3">
        <v>45953</v>
      </c>
      <c r="H51" s="3"/>
      <c r="I51" s="2"/>
    </row>
    <row r="52" spans="1:9" ht="30" x14ac:dyDescent="0.25">
      <c r="A52" s="2" t="s">
        <v>397</v>
      </c>
      <c r="B52" s="5">
        <v>3</v>
      </c>
      <c r="C52" s="4" t="s">
        <v>91</v>
      </c>
      <c r="D52" s="4" t="s">
        <v>402</v>
      </c>
      <c r="E52" s="2" t="s">
        <v>150</v>
      </c>
      <c r="F52" s="2" t="s">
        <v>149</v>
      </c>
      <c r="G52" s="3">
        <v>46081</v>
      </c>
      <c r="H52" s="3"/>
      <c r="I52" s="2"/>
    </row>
    <row r="53" spans="1:9" ht="135" x14ac:dyDescent="0.25">
      <c r="A53" s="2" t="s">
        <v>397</v>
      </c>
      <c r="B53" s="5" t="s">
        <v>56</v>
      </c>
      <c r="C53" s="4" t="s">
        <v>92</v>
      </c>
      <c r="D53" s="4" t="s">
        <v>402</v>
      </c>
      <c r="E53" s="2" t="s">
        <v>151</v>
      </c>
      <c r="F53" s="2" t="s">
        <v>129</v>
      </c>
      <c r="G53" s="3">
        <v>45820</v>
      </c>
      <c r="H53" s="3"/>
      <c r="I53" s="2" t="s">
        <v>182</v>
      </c>
    </row>
    <row r="54" spans="1:9" ht="120" x14ac:dyDescent="0.25">
      <c r="A54" s="2" t="s">
        <v>397</v>
      </c>
      <c r="B54" s="5" t="s">
        <v>93</v>
      </c>
      <c r="C54" s="4" t="s">
        <v>94</v>
      </c>
      <c r="D54" s="4" t="s">
        <v>402</v>
      </c>
      <c r="E54" s="2" t="s">
        <v>151</v>
      </c>
      <c r="F54" s="2" t="s">
        <v>129</v>
      </c>
      <c r="G54" s="3">
        <v>45820</v>
      </c>
      <c r="H54" s="3"/>
      <c r="I54" s="2" t="s">
        <v>183</v>
      </c>
    </row>
    <row r="55" spans="1:9" ht="30" x14ac:dyDescent="0.25">
      <c r="A55" s="2" t="s">
        <v>397</v>
      </c>
      <c r="B55" s="5" t="s">
        <v>95</v>
      </c>
      <c r="C55" s="4" t="s">
        <v>96</v>
      </c>
      <c r="D55" s="4" t="s">
        <v>402</v>
      </c>
      <c r="E55" s="2" t="s">
        <v>153</v>
      </c>
      <c r="F55" s="2" t="s">
        <v>129</v>
      </c>
      <c r="G55" s="3">
        <v>45916</v>
      </c>
      <c r="H55" s="3"/>
      <c r="I55" s="2"/>
    </row>
    <row r="56" spans="1:9" ht="135" x14ac:dyDescent="0.25">
      <c r="A56" s="2" t="s">
        <v>397</v>
      </c>
      <c r="B56" s="5" t="s">
        <v>58</v>
      </c>
      <c r="C56" s="4" t="s">
        <v>97</v>
      </c>
      <c r="D56" s="4" t="s">
        <v>402</v>
      </c>
      <c r="E56" s="2" t="s">
        <v>151</v>
      </c>
      <c r="F56" s="2" t="s">
        <v>129</v>
      </c>
      <c r="G56" s="3">
        <v>46081</v>
      </c>
      <c r="H56" s="3"/>
      <c r="I56" s="2" t="s">
        <v>184</v>
      </c>
    </row>
    <row r="57" spans="1:9" ht="45" x14ac:dyDescent="0.25">
      <c r="A57" s="2" t="s">
        <v>397</v>
      </c>
      <c r="B57" s="5" t="s">
        <v>98</v>
      </c>
      <c r="C57" s="4" t="s">
        <v>99</v>
      </c>
      <c r="D57" s="4" t="s">
        <v>402</v>
      </c>
      <c r="E57" s="2" t="s">
        <v>153</v>
      </c>
      <c r="F57" s="2" t="s">
        <v>154</v>
      </c>
      <c r="G57" s="3">
        <v>46052</v>
      </c>
      <c r="H57" s="3"/>
      <c r="I57" s="2"/>
    </row>
    <row r="58" spans="1:9" ht="30" x14ac:dyDescent="0.25">
      <c r="A58" s="2" t="s">
        <v>397</v>
      </c>
      <c r="B58" s="5" t="s">
        <v>100</v>
      </c>
      <c r="C58" s="4" t="s">
        <v>101</v>
      </c>
      <c r="D58" s="4" t="s">
        <v>402</v>
      </c>
      <c r="E58" s="2" t="s">
        <v>155</v>
      </c>
      <c r="F58" s="2" t="s">
        <v>156</v>
      </c>
      <c r="G58" s="3">
        <v>46038</v>
      </c>
      <c r="H58" s="3"/>
      <c r="I58" s="2"/>
    </row>
    <row r="59" spans="1:9" ht="30" x14ac:dyDescent="0.25">
      <c r="A59" s="2" t="s">
        <v>397</v>
      </c>
      <c r="B59" s="5" t="s">
        <v>102</v>
      </c>
      <c r="C59" s="4" t="s">
        <v>103</v>
      </c>
      <c r="D59" s="4" t="s">
        <v>402</v>
      </c>
      <c r="E59" s="2" t="s">
        <v>157</v>
      </c>
      <c r="F59" s="2" t="s">
        <v>156</v>
      </c>
      <c r="G59" s="3">
        <v>46038</v>
      </c>
      <c r="H59" s="3"/>
      <c r="I59" s="2"/>
    </row>
    <row r="60" spans="1:9" ht="30" x14ac:dyDescent="0.25">
      <c r="A60" s="2" t="s">
        <v>397</v>
      </c>
      <c r="B60" s="5" t="s">
        <v>104</v>
      </c>
      <c r="C60" s="4" t="s">
        <v>105</v>
      </c>
      <c r="D60" s="4" t="s">
        <v>402</v>
      </c>
      <c r="E60" s="2" t="s">
        <v>158</v>
      </c>
      <c r="F60" s="2" t="s">
        <v>156</v>
      </c>
      <c r="G60" s="3">
        <v>46038</v>
      </c>
      <c r="H60" s="3"/>
      <c r="I60" s="2"/>
    </row>
    <row r="61" spans="1:9" ht="30" x14ac:dyDescent="0.25">
      <c r="A61" s="2" t="s">
        <v>397</v>
      </c>
      <c r="B61" s="5" t="s">
        <v>106</v>
      </c>
      <c r="C61" s="4" t="s">
        <v>107</v>
      </c>
      <c r="D61" s="4" t="s">
        <v>402</v>
      </c>
      <c r="E61" s="2" t="s">
        <v>159</v>
      </c>
      <c r="F61" s="2" t="s">
        <v>160</v>
      </c>
      <c r="G61" s="3">
        <v>46038</v>
      </c>
      <c r="H61" s="3"/>
      <c r="I61" s="2"/>
    </row>
    <row r="62" spans="1:9" ht="30" x14ac:dyDescent="0.25">
      <c r="A62" s="2" t="s">
        <v>397</v>
      </c>
      <c r="B62" s="5" t="s">
        <v>108</v>
      </c>
      <c r="C62" s="4" t="s">
        <v>109</v>
      </c>
      <c r="D62" s="4" t="s">
        <v>402</v>
      </c>
      <c r="E62" s="2"/>
      <c r="F62" s="2" t="s">
        <v>161</v>
      </c>
      <c r="G62" s="3">
        <v>46038</v>
      </c>
      <c r="H62" s="3"/>
      <c r="I62" s="2"/>
    </row>
    <row r="63" spans="1:9" ht="30" x14ac:dyDescent="0.25">
      <c r="A63" s="2" t="s">
        <v>397</v>
      </c>
      <c r="B63" s="5" t="s">
        <v>110</v>
      </c>
      <c r="C63" s="4" t="s">
        <v>111</v>
      </c>
      <c r="D63" s="4" t="s">
        <v>402</v>
      </c>
      <c r="E63" s="2" t="s">
        <v>162</v>
      </c>
      <c r="F63" s="2" t="s">
        <v>163</v>
      </c>
      <c r="G63" s="3">
        <v>46038</v>
      </c>
      <c r="H63" s="3"/>
      <c r="I63" s="2"/>
    </row>
    <row r="64" spans="1:9" ht="30" x14ac:dyDescent="0.25">
      <c r="A64" s="2" t="s">
        <v>397</v>
      </c>
      <c r="B64" s="5" t="s">
        <v>112</v>
      </c>
      <c r="C64" s="4" t="s">
        <v>113</v>
      </c>
      <c r="D64" s="4" t="s">
        <v>402</v>
      </c>
      <c r="E64" s="2" t="s">
        <v>164</v>
      </c>
      <c r="F64" s="2" t="s">
        <v>165</v>
      </c>
      <c r="G64" s="3">
        <v>46038</v>
      </c>
      <c r="H64" s="3"/>
      <c r="I64" s="2"/>
    </row>
    <row r="65" spans="1:9" ht="30" x14ac:dyDescent="0.25">
      <c r="A65" s="2" t="s">
        <v>397</v>
      </c>
      <c r="B65" s="5" t="s">
        <v>114</v>
      </c>
      <c r="C65" s="4" t="s">
        <v>115</v>
      </c>
      <c r="D65" s="4" t="s">
        <v>402</v>
      </c>
      <c r="E65" s="2" t="s">
        <v>153</v>
      </c>
      <c r="F65" s="2" t="s">
        <v>129</v>
      </c>
      <c r="G65" s="3">
        <v>46072</v>
      </c>
      <c r="H65" s="3"/>
      <c r="I65" s="2"/>
    </row>
    <row r="66" spans="1:9" ht="45" x14ac:dyDescent="0.25">
      <c r="A66" s="2" t="s">
        <v>397</v>
      </c>
      <c r="B66" s="5" t="s">
        <v>116</v>
      </c>
      <c r="C66" s="4" t="s">
        <v>117</v>
      </c>
      <c r="D66" s="4" t="s">
        <v>402</v>
      </c>
      <c r="E66" s="2" t="s">
        <v>166</v>
      </c>
      <c r="F66" s="2" t="s">
        <v>167</v>
      </c>
      <c r="G66" s="3">
        <v>46079</v>
      </c>
      <c r="H66" s="3"/>
      <c r="I66" s="2"/>
    </row>
    <row r="67" spans="1:9" ht="30" x14ac:dyDescent="0.25">
      <c r="A67" s="2" t="s">
        <v>397</v>
      </c>
      <c r="B67" s="5" t="s">
        <v>118</v>
      </c>
      <c r="C67" s="4" t="s">
        <v>119</v>
      </c>
      <c r="D67" s="4" t="s">
        <v>402</v>
      </c>
      <c r="E67" s="2" t="s">
        <v>153</v>
      </c>
      <c r="F67" s="2" t="s">
        <v>129</v>
      </c>
      <c r="G67" s="3">
        <v>46081</v>
      </c>
      <c r="H67" s="3"/>
      <c r="I67" s="2"/>
    </row>
    <row r="68" spans="1:9" ht="45" x14ac:dyDescent="0.25">
      <c r="A68" s="2" t="s">
        <v>397</v>
      </c>
      <c r="B68" s="5" t="s">
        <v>120</v>
      </c>
      <c r="C68" s="4" t="s">
        <v>121</v>
      </c>
      <c r="D68" s="4" t="s">
        <v>402</v>
      </c>
      <c r="E68" s="2" t="s">
        <v>168</v>
      </c>
      <c r="F68" s="2" t="s">
        <v>149</v>
      </c>
      <c r="G68" s="3">
        <v>46157</v>
      </c>
      <c r="H68" s="3"/>
      <c r="I68" s="2"/>
    </row>
    <row r="69" spans="1:9" ht="135" x14ac:dyDescent="0.25">
      <c r="A69" s="4" t="s">
        <v>373</v>
      </c>
      <c r="B69" s="5">
        <v>1</v>
      </c>
      <c r="C69" s="4" t="s">
        <v>122</v>
      </c>
      <c r="D69" s="4" t="s">
        <v>37</v>
      </c>
      <c r="E69" s="2" t="s">
        <v>12</v>
      </c>
      <c r="F69" s="2" t="s">
        <v>12</v>
      </c>
      <c r="G69" s="3">
        <v>45803</v>
      </c>
      <c r="H69" s="3">
        <v>45807</v>
      </c>
      <c r="I69" s="2" t="s">
        <v>185</v>
      </c>
    </row>
    <row r="70" spans="1:9" x14ac:dyDescent="0.25">
      <c r="A70" s="4" t="s">
        <v>373</v>
      </c>
      <c r="B70" s="5">
        <v>2</v>
      </c>
      <c r="C70" s="4" t="s">
        <v>123</v>
      </c>
      <c r="D70" s="4" t="s">
        <v>402</v>
      </c>
      <c r="E70" s="2" t="s">
        <v>12</v>
      </c>
      <c r="F70" s="2" t="s">
        <v>12</v>
      </c>
      <c r="G70" s="3">
        <v>45869</v>
      </c>
      <c r="H70" s="3">
        <v>45898</v>
      </c>
      <c r="I70" s="2"/>
    </row>
    <row r="71" spans="1:9" ht="150" x14ac:dyDescent="0.25">
      <c r="A71" s="4" t="s">
        <v>373</v>
      </c>
      <c r="B71" s="5">
        <v>3</v>
      </c>
      <c r="C71" s="4" t="s">
        <v>125</v>
      </c>
      <c r="D71" s="4" t="s">
        <v>402</v>
      </c>
      <c r="E71" s="2" t="s">
        <v>12</v>
      </c>
      <c r="F71" s="2" t="s">
        <v>12</v>
      </c>
      <c r="G71" s="3">
        <v>45869</v>
      </c>
      <c r="H71" s="3">
        <v>45912</v>
      </c>
      <c r="I71" s="2" t="s">
        <v>186</v>
      </c>
    </row>
    <row r="72" spans="1:9" ht="75" x14ac:dyDescent="0.25">
      <c r="A72" s="4" t="s">
        <v>373</v>
      </c>
      <c r="B72" s="5">
        <v>4</v>
      </c>
      <c r="C72" s="4" t="s">
        <v>126</v>
      </c>
      <c r="D72" s="4" t="s">
        <v>402</v>
      </c>
      <c r="E72" s="2" t="s">
        <v>12</v>
      </c>
      <c r="F72" s="2" t="s">
        <v>12</v>
      </c>
      <c r="G72" s="3">
        <v>45869</v>
      </c>
      <c r="H72" s="3">
        <v>45919</v>
      </c>
      <c r="I72" s="2" t="s">
        <v>187</v>
      </c>
    </row>
    <row r="73" spans="1:9" ht="105" x14ac:dyDescent="0.25">
      <c r="A73" s="4" t="s">
        <v>373</v>
      </c>
      <c r="B73" s="5">
        <v>5</v>
      </c>
      <c r="C73" s="4" t="s">
        <v>127</v>
      </c>
      <c r="D73" s="4" t="s">
        <v>402</v>
      </c>
      <c r="E73" s="2" t="s">
        <v>12</v>
      </c>
      <c r="F73" s="2" t="s">
        <v>12</v>
      </c>
      <c r="G73" s="3">
        <v>45915</v>
      </c>
      <c r="H73" s="3">
        <v>45926</v>
      </c>
      <c r="I73" s="2" t="s">
        <v>188</v>
      </c>
    </row>
    <row r="74" spans="1:9" ht="150" x14ac:dyDescent="0.25">
      <c r="A74" s="4" t="s">
        <v>373</v>
      </c>
      <c r="B74" s="5">
        <v>6</v>
      </c>
      <c r="C74" s="4" t="s">
        <v>128</v>
      </c>
      <c r="D74" s="4" t="s">
        <v>402</v>
      </c>
      <c r="E74" s="2" t="s">
        <v>12</v>
      </c>
      <c r="F74" s="2" t="s">
        <v>12</v>
      </c>
      <c r="G74" s="3">
        <v>45901</v>
      </c>
      <c r="H74" s="3">
        <v>45991</v>
      </c>
      <c r="I74" s="2" t="s">
        <v>189</v>
      </c>
    </row>
    <row r="75" spans="1:9" x14ac:dyDescent="0.25">
      <c r="A75" s="4" t="s">
        <v>396</v>
      </c>
      <c r="B75">
        <v>1</v>
      </c>
      <c r="C75" t="s">
        <v>346</v>
      </c>
      <c r="D75" s="4" t="s">
        <v>402</v>
      </c>
      <c r="F75" t="s">
        <v>348</v>
      </c>
      <c r="G75" s="3">
        <v>45839</v>
      </c>
      <c r="H75" s="3">
        <v>45992</v>
      </c>
      <c r="I75" s="4" t="s">
        <v>347</v>
      </c>
    </row>
    <row r="76" spans="1:9" x14ac:dyDescent="0.25">
      <c r="A76" s="4" t="s">
        <v>396</v>
      </c>
      <c r="B76">
        <v>2</v>
      </c>
      <c r="C76" t="s">
        <v>349</v>
      </c>
      <c r="D76" s="4" t="s">
        <v>402</v>
      </c>
      <c r="F76" t="s">
        <v>348</v>
      </c>
      <c r="G76" s="3">
        <v>45839</v>
      </c>
      <c r="H76" s="3">
        <v>45992</v>
      </c>
      <c r="I76" s="4" t="s">
        <v>350</v>
      </c>
    </row>
    <row r="77" spans="1:9" x14ac:dyDescent="0.25">
      <c r="A77" s="4" t="s">
        <v>396</v>
      </c>
      <c r="B77">
        <v>3</v>
      </c>
      <c r="C77" t="s">
        <v>351</v>
      </c>
      <c r="D77" s="4" t="s">
        <v>402</v>
      </c>
      <c r="F77" t="s">
        <v>353</v>
      </c>
      <c r="G77" s="3">
        <v>45901</v>
      </c>
      <c r="H77" s="3">
        <v>46357</v>
      </c>
      <c r="I77" s="4" t="s">
        <v>352</v>
      </c>
    </row>
    <row r="78" spans="1:9" x14ac:dyDescent="0.25">
      <c r="A78" s="4" t="s">
        <v>396</v>
      </c>
      <c r="B78">
        <v>4</v>
      </c>
      <c r="C78" t="s">
        <v>354</v>
      </c>
      <c r="D78" s="4" t="s">
        <v>402</v>
      </c>
      <c r="F78" t="s">
        <v>348</v>
      </c>
      <c r="G78" s="3">
        <v>46082</v>
      </c>
      <c r="H78" s="3">
        <v>46388</v>
      </c>
      <c r="I78" s="4" t="s">
        <v>355</v>
      </c>
    </row>
    <row r="79" spans="1:9" x14ac:dyDescent="0.25">
      <c r="A79" s="4" t="s">
        <v>396</v>
      </c>
      <c r="B79">
        <v>5</v>
      </c>
      <c r="C79" t="s">
        <v>356</v>
      </c>
      <c r="D79" s="4" t="s">
        <v>402</v>
      </c>
      <c r="F79" t="s">
        <v>348</v>
      </c>
      <c r="G79" s="3">
        <v>45839</v>
      </c>
      <c r="H79" s="3">
        <v>46082</v>
      </c>
      <c r="I79" s="4" t="s">
        <v>357</v>
      </c>
    </row>
    <row r="80" spans="1:9" x14ac:dyDescent="0.25">
      <c r="A80" s="4" t="s">
        <v>396</v>
      </c>
      <c r="B80">
        <v>6</v>
      </c>
      <c r="C80" t="s">
        <v>358</v>
      </c>
      <c r="D80" s="4" t="s">
        <v>402</v>
      </c>
      <c r="F80" t="s">
        <v>360</v>
      </c>
      <c r="G80" s="3">
        <v>46082</v>
      </c>
      <c r="H80" s="3">
        <v>46388</v>
      </c>
      <c r="I80" s="4" t="s">
        <v>359</v>
      </c>
    </row>
    <row r="81" spans="1:9" x14ac:dyDescent="0.25">
      <c r="A81" t="s">
        <v>395</v>
      </c>
      <c r="B81" t="s">
        <v>284</v>
      </c>
      <c r="C81" t="s">
        <v>285</v>
      </c>
      <c r="D81" s="4" t="s">
        <v>402</v>
      </c>
      <c r="F81" t="s">
        <v>287</v>
      </c>
      <c r="G81" t="s">
        <v>288</v>
      </c>
      <c r="H81" t="s">
        <v>289</v>
      </c>
      <c r="I81" s="4" t="s">
        <v>286</v>
      </c>
    </row>
    <row r="82" spans="1:9" x14ac:dyDescent="0.25">
      <c r="A82" t="s">
        <v>395</v>
      </c>
      <c r="B82" t="s">
        <v>13</v>
      </c>
      <c r="C82" t="s">
        <v>290</v>
      </c>
      <c r="D82" s="4" t="s">
        <v>402</v>
      </c>
      <c r="F82" t="s">
        <v>292</v>
      </c>
      <c r="G82" t="s">
        <v>293</v>
      </c>
      <c r="H82" t="s">
        <v>294</v>
      </c>
      <c r="I82" s="4" t="s">
        <v>291</v>
      </c>
    </row>
    <row r="83" spans="1:9" x14ac:dyDescent="0.25">
      <c r="A83" t="s">
        <v>395</v>
      </c>
      <c r="B83" t="s">
        <v>15</v>
      </c>
      <c r="C83" t="s">
        <v>295</v>
      </c>
      <c r="D83" s="4" t="s">
        <v>402</v>
      </c>
      <c r="F83" t="s">
        <v>292</v>
      </c>
      <c r="G83" t="s">
        <v>297</v>
      </c>
      <c r="H83" t="s">
        <v>298</v>
      </c>
      <c r="I83" s="4" t="s">
        <v>296</v>
      </c>
    </row>
    <row r="84" spans="1:9" x14ac:dyDescent="0.25">
      <c r="A84" t="s">
        <v>395</v>
      </c>
      <c r="B84" t="s">
        <v>17</v>
      </c>
      <c r="C84" t="s">
        <v>299</v>
      </c>
      <c r="D84" s="4" t="s">
        <v>402</v>
      </c>
      <c r="F84" t="s">
        <v>292</v>
      </c>
      <c r="G84" t="s">
        <v>301</v>
      </c>
      <c r="H84" t="s">
        <v>302</v>
      </c>
      <c r="I84" s="4" t="s">
        <v>300</v>
      </c>
    </row>
    <row r="85" spans="1:9" x14ac:dyDescent="0.25">
      <c r="A85" t="s">
        <v>395</v>
      </c>
      <c r="B85" t="s">
        <v>41</v>
      </c>
      <c r="C85" t="s">
        <v>303</v>
      </c>
      <c r="D85" s="4" t="s">
        <v>402</v>
      </c>
      <c r="F85" t="s">
        <v>292</v>
      </c>
      <c r="G85" t="s">
        <v>305</v>
      </c>
      <c r="H85" t="s">
        <v>306</v>
      </c>
      <c r="I85" s="4" t="s">
        <v>304</v>
      </c>
    </row>
    <row r="86" spans="1:9" x14ac:dyDescent="0.25">
      <c r="A86" t="s">
        <v>395</v>
      </c>
      <c r="B86" t="s">
        <v>43</v>
      </c>
      <c r="C86" t="s">
        <v>307</v>
      </c>
      <c r="D86" s="4" t="s">
        <v>402</v>
      </c>
      <c r="F86" t="s">
        <v>309</v>
      </c>
      <c r="G86" t="s">
        <v>297</v>
      </c>
      <c r="H86" t="s">
        <v>306</v>
      </c>
      <c r="I86" s="4" t="s">
        <v>308</v>
      </c>
    </row>
    <row r="87" spans="1:9" x14ac:dyDescent="0.25">
      <c r="A87" t="s">
        <v>395</v>
      </c>
      <c r="B87" t="s">
        <v>20</v>
      </c>
      <c r="C87" t="s">
        <v>310</v>
      </c>
      <c r="D87" s="4" t="s">
        <v>402</v>
      </c>
      <c r="F87" t="s">
        <v>312</v>
      </c>
      <c r="G87" t="s">
        <v>294</v>
      </c>
      <c r="H87" t="s">
        <v>313</v>
      </c>
      <c r="I87" s="4" t="s">
        <v>311</v>
      </c>
    </row>
    <row r="88" spans="1:9" x14ac:dyDescent="0.25">
      <c r="A88" t="s">
        <v>395</v>
      </c>
      <c r="B88" t="s">
        <v>22</v>
      </c>
      <c r="C88" t="s">
        <v>314</v>
      </c>
      <c r="D88" s="4" t="s">
        <v>402</v>
      </c>
      <c r="F88" t="s">
        <v>312</v>
      </c>
      <c r="G88" t="s">
        <v>297</v>
      </c>
      <c r="H88" t="s">
        <v>298</v>
      </c>
      <c r="I88" s="4" t="s">
        <v>296</v>
      </c>
    </row>
    <row r="89" spans="1:9" x14ac:dyDescent="0.25">
      <c r="A89" t="s">
        <v>395</v>
      </c>
      <c r="B89" t="s">
        <v>53</v>
      </c>
      <c r="C89" t="s">
        <v>315</v>
      </c>
      <c r="D89" s="4" t="s">
        <v>402</v>
      </c>
      <c r="F89" t="s">
        <v>312</v>
      </c>
      <c r="G89" t="s">
        <v>301</v>
      </c>
      <c r="H89" t="s">
        <v>302</v>
      </c>
      <c r="I89" s="4" t="s">
        <v>316</v>
      </c>
    </row>
    <row r="90" spans="1:9" x14ac:dyDescent="0.25">
      <c r="A90" t="s">
        <v>395</v>
      </c>
      <c r="B90" t="s">
        <v>317</v>
      </c>
      <c r="C90" t="s">
        <v>318</v>
      </c>
      <c r="D90" s="4" t="s">
        <v>402</v>
      </c>
      <c r="F90" t="s">
        <v>312</v>
      </c>
      <c r="G90" t="s">
        <v>305</v>
      </c>
      <c r="H90" t="s">
        <v>306</v>
      </c>
      <c r="I90" s="4" t="s">
        <v>304</v>
      </c>
    </row>
    <row r="91" spans="1:9" x14ac:dyDescent="0.25">
      <c r="A91" t="s">
        <v>395</v>
      </c>
      <c r="B91" t="s">
        <v>87</v>
      </c>
      <c r="C91" t="s">
        <v>319</v>
      </c>
      <c r="D91" s="4" t="s">
        <v>402</v>
      </c>
      <c r="F91" t="s">
        <v>321</v>
      </c>
      <c r="G91" t="s">
        <v>322</v>
      </c>
      <c r="H91" t="s">
        <v>323</v>
      </c>
      <c r="I91" s="4" t="s">
        <v>320</v>
      </c>
    </row>
    <row r="92" spans="1:9" x14ac:dyDescent="0.25">
      <c r="A92" t="s">
        <v>395</v>
      </c>
      <c r="B92" t="s">
        <v>56</v>
      </c>
      <c r="C92" t="s">
        <v>324</v>
      </c>
      <c r="D92" s="4" t="s">
        <v>402</v>
      </c>
      <c r="F92" t="s">
        <v>326</v>
      </c>
      <c r="G92" t="s">
        <v>327</v>
      </c>
      <c r="H92" t="s">
        <v>306</v>
      </c>
      <c r="I92" s="4" t="s">
        <v>325</v>
      </c>
    </row>
    <row r="93" spans="1:9" x14ac:dyDescent="0.25">
      <c r="A93" t="s">
        <v>395</v>
      </c>
      <c r="B93" t="s">
        <v>58</v>
      </c>
      <c r="C93" t="s">
        <v>328</v>
      </c>
      <c r="D93" s="4" t="s">
        <v>402</v>
      </c>
      <c r="F93" t="s">
        <v>326</v>
      </c>
      <c r="G93" t="s">
        <v>322</v>
      </c>
      <c r="H93" t="s">
        <v>330</v>
      </c>
      <c r="I93" s="4" t="s">
        <v>329</v>
      </c>
    </row>
    <row r="94" spans="1:9" x14ac:dyDescent="0.25">
      <c r="A94" t="s">
        <v>395</v>
      </c>
      <c r="B94" t="s">
        <v>25</v>
      </c>
      <c r="C94" t="s">
        <v>331</v>
      </c>
      <c r="D94" s="4" t="s">
        <v>402</v>
      </c>
      <c r="F94" t="s">
        <v>333</v>
      </c>
      <c r="G94" t="s">
        <v>301</v>
      </c>
      <c r="H94" t="s">
        <v>334</v>
      </c>
      <c r="I94" s="4" t="s">
        <v>332</v>
      </c>
    </row>
    <row r="95" spans="1:9" x14ac:dyDescent="0.25">
      <c r="A95" t="s">
        <v>395</v>
      </c>
      <c r="B95" t="s">
        <v>27</v>
      </c>
      <c r="C95" t="s">
        <v>335</v>
      </c>
      <c r="D95" s="4" t="s">
        <v>402</v>
      </c>
      <c r="F95" t="s">
        <v>333</v>
      </c>
      <c r="G95" t="s">
        <v>337</v>
      </c>
      <c r="H95" t="s">
        <v>330</v>
      </c>
      <c r="I95" s="4" t="s">
        <v>336</v>
      </c>
    </row>
    <row r="96" spans="1:9" x14ac:dyDescent="0.25">
      <c r="A96" t="s">
        <v>395</v>
      </c>
      <c r="B96" t="s">
        <v>64</v>
      </c>
      <c r="C96" t="s">
        <v>338</v>
      </c>
      <c r="D96" s="4" t="s">
        <v>402</v>
      </c>
      <c r="F96" t="s">
        <v>340</v>
      </c>
      <c r="G96" t="s">
        <v>341</v>
      </c>
      <c r="H96" t="s">
        <v>298</v>
      </c>
      <c r="I96" s="4" t="s">
        <v>339</v>
      </c>
    </row>
    <row r="97" spans="1:9" x14ac:dyDescent="0.25">
      <c r="A97" t="s">
        <v>395</v>
      </c>
      <c r="B97" t="s">
        <v>66</v>
      </c>
      <c r="C97" t="s">
        <v>342</v>
      </c>
      <c r="D97" s="4" t="s">
        <v>402</v>
      </c>
      <c r="F97" t="s">
        <v>326</v>
      </c>
      <c r="G97" t="s">
        <v>337</v>
      </c>
      <c r="H97" t="s">
        <v>330</v>
      </c>
      <c r="I97" s="4" t="s">
        <v>343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AAB6-A09B-407D-A808-82F4F47BB486}">
  <sheetPr codeName="Planilha3"/>
  <dimension ref="A1:M11"/>
  <sheetViews>
    <sheetView workbookViewId="0">
      <pane xSplit="1" ySplit="1" topLeftCell="E2" activePane="bottomRight" state="frozen"/>
      <selection pane="topRight" activeCell="B1" sqref="B1"/>
      <selection pane="bottomLeft" activeCell="A2" sqref="A2"/>
      <selection pane="bottomRight" sqref="A1:M11"/>
    </sheetView>
  </sheetViews>
  <sheetFormatPr defaultColWidth="9.140625" defaultRowHeight="15" x14ac:dyDescent="0.25"/>
  <cols>
    <col min="1" max="1" width="26.28515625" style="4" bestFit="1" customWidth="1"/>
    <col min="2" max="2" width="23.140625" style="4" bestFit="1" customWidth="1"/>
    <col min="3" max="3" width="61.85546875" style="4" bestFit="1" customWidth="1"/>
    <col min="4" max="4" width="87.140625" style="4" bestFit="1" customWidth="1"/>
    <col min="5" max="5" width="14.85546875" style="163" bestFit="1" customWidth="1"/>
    <col min="6" max="6" width="13" style="163" bestFit="1" customWidth="1"/>
    <col min="7" max="7" width="14.7109375" style="4" customWidth="1"/>
    <col min="8" max="8" width="11.42578125" style="4" customWidth="1"/>
    <col min="9" max="9" width="9.28515625" style="4" customWidth="1"/>
    <col min="10" max="10" width="20" style="4" bestFit="1" customWidth="1"/>
    <col min="11" max="16384" width="9.140625" style="4"/>
  </cols>
  <sheetData>
    <row r="1" spans="1:13" x14ac:dyDescent="0.25">
      <c r="A1" s="4" t="s">
        <v>361</v>
      </c>
      <c r="B1" s="4" t="s">
        <v>374</v>
      </c>
      <c r="C1" s="4" t="s">
        <v>365</v>
      </c>
      <c r="D1" s="4" t="s">
        <v>362</v>
      </c>
      <c r="E1" s="163" t="s">
        <v>219</v>
      </c>
      <c r="F1" s="163" t="s">
        <v>7</v>
      </c>
      <c r="G1" s="4" t="s">
        <v>363</v>
      </c>
      <c r="H1" s="4" t="s">
        <v>364</v>
      </c>
      <c r="I1" s="4" t="s">
        <v>242</v>
      </c>
      <c r="J1" s="4" t="s">
        <v>3</v>
      </c>
      <c r="K1" s="4" t="s">
        <v>403</v>
      </c>
      <c r="L1" s="4" t="s">
        <v>404</v>
      </c>
      <c r="M1" s="4" t="s">
        <v>8</v>
      </c>
    </row>
    <row r="2" spans="1:13" ht="30" x14ac:dyDescent="0.25">
      <c r="A2" s="4" t="s">
        <v>10</v>
      </c>
      <c r="B2" s="2" t="s">
        <v>375</v>
      </c>
      <c r="C2" s="4" t="s">
        <v>12</v>
      </c>
      <c r="D2" s="4" t="s">
        <v>366</v>
      </c>
      <c r="E2" s="162">
        <v>45705</v>
      </c>
      <c r="F2" s="162">
        <v>45905</v>
      </c>
      <c r="G2" s="4" t="s">
        <v>12</v>
      </c>
      <c r="H2" s="4" t="s">
        <v>12</v>
      </c>
      <c r="I2" s="4" t="s">
        <v>12</v>
      </c>
      <c r="J2" s="4" t="s">
        <v>35</v>
      </c>
    </row>
    <row r="3" spans="1:13" ht="30" x14ac:dyDescent="0.25">
      <c r="A3" s="4" t="s">
        <v>33</v>
      </c>
      <c r="B3" s="2" t="s">
        <v>377</v>
      </c>
      <c r="C3" s="4" t="s">
        <v>376</v>
      </c>
      <c r="D3" s="4" t="s">
        <v>367</v>
      </c>
      <c r="E3" s="163">
        <v>45444</v>
      </c>
      <c r="F3" s="163">
        <v>46843</v>
      </c>
      <c r="G3" s="4" t="s">
        <v>12</v>
      </c>
      <c r="H3" s="4" t="s">
        <v>394</v>
      </c>
      <c r="I3" s="4" t="s">
        <v>12</v>
      </c>
      <c r="J3" s="4" t="s">
        <v>35</v>
      </c>
    </row>
    <row r="4" spans="1:13" ht="45" x14ac:dyDescent="0.25">
      <c r="A4" s="4" t="s">
        <v>397</v>
      </c>
      <c r="B4" s="2" t="s">
        <v>378</v>
      </c>
      <c r="C4" s="2" t="s">
        <v>379</v>
      </c>
      <c r="D4" s="4" t="s">
        <v>368</v>
      </c>
      <c r="E4" s="163">
        <v>45819</v>
      </c>
      <c r="F4" s="163">
        <v>46157</v>
      </c>
      <c r="G4" s="4" t="s">
        <v>382</v>
      </c>
      <c r="H4" s="4" t="s">
        <v>383</v>
      </c>
      <c r="I4" s="4" t="s">
        <v>12</v>
      </c>
      <c r="J4" s="4" t="s">
        <v>35</v>
      </c>
    </row>
    <row r="5" spans="1:13" x14ac:dyDescent="0.25">
      <c r="A5" s="4" t="s">
        <v>373</v>
      </c>
      <c r="B5" s="4" t="s">
        <v>370</v>
      </c>
      <c r="C5" s="4" t="s">
        <v>380</v>
      </c>
      <c r="D5" s="4" t="s">
        <v>369</v>
      </c>
      <c r="E5" s="163">
        <v>45803</v>
      </c>
      <c r="F5" s="163">
        <v>45991</v>
      </c>
      <c r="G5" s="4" t="s">
        <v>12</v>
      </c>
      <c r="H5" s="4" t="s">
        <v>384</v>
      </c>
      <c r="I5" s="4" t="s">
        <v>12</v>
      </c>
      <c r="J5" s="4" t="s">
        <v>35</v>
      </c>
    </row>
    <row r="6" spans="1:13" x14ac:dyDescent="0.25">
      <c r="A6" s="4" t="s">
        <v>401</v>
      </c>
      <c r="B6" s="4" t="s">
        <v>372</v>
      </c>
      <c r="C6" s="4" t="s">
        <v>381</v>
      </c>
      <c r="D6" s="4" t="s">
        <v>371</v>
      </c>
      <c r="G6" s="4" t="s">
        <v>12</v>
      </c>
      <c r="H6" s="4" t="s">
        <v>385</v>
      </c>
      <c r="I6" s="4" t="s">
        <v>12</v>
      </c>
      <c r="J6" s="4" t="s">
        <v>393</v>
      </c>
    </row>
    <row r="7" spans="1:13" x14ac:dyDescent="0.25">
      <c r="A7" t="s">
        <v>395</v>
      </c>
      <c r="B7" s="4" t="s">
        <v>372</v>
      </c>
      <c r="C7" s="4" t="s">
        <v>381</v>
      </c>
      <c r="D7" s="4" t="s">
        <v>371</v>
      </c>
      <c r="E7" s="163">
        <v>45789</v>
      </c>
      <c r="F7" s="163">
        <v>46752</v>
      </c>
      <c r="G7" s="4" t="s">
        <v>12</v>
      </c>
      <c r="H7" s="4" t="s">
        <v>385</v>
      </c>
      <c r="I7" s="4" t="s">
        <v>12</v>
      </c>
      <c r="J7" s="4" t="s">
        <v>35</v>
      </c>
    </row>
    <row r="8" spans="1:13" x14ac:dyDescent="0.25">
      <c r="A8" s="4" t="s">
        <v>396</v>
      </c>
      <c r="B8" s="4" t="s">
        <v>372</v>
      </c>
      <c r="C8" s="4" t="s">
        <v>381</v>
      </c>
      <c r="D8" s="4" t="s">
        <v>371</v>
      </c>
      <c r="E8" s="163">
        <v>45839</v>
      </c>
      <c r="F8" s="163">
        <v>46418</v>
      </c>
      <c r="G8" s="4" t="s">
        <v>12</v>
      </c>
      <c r="H8" s="4" t="s">
        <v>385</v>
      </c>
      <c r="I8" s="4" t="s">
        <v>12</v>
      </c>
      <c r="J8" s="4" t="s">
        <v>35</v>
      </c>
    </row>
    <row r="9" spans="1:13" x14ac:dyDescent="0.25">
      <c r="A9" s="4" t="s">
        <v>400</v>
      </c>
      <c r="B9" s="4" t="s">
        <v>372</v>
      </c>
      <c r="C9" s="4" t="s">
        <v>381</v>
      </c>
      <c r="D9" s="4" t="s">
        <v>371</v>
      </c>
      <c r="G9" s="4" t="s">
        <v>12</v>
      </c>
      <c r="H9" s="4" t="s">
        <v>385</v>
      </c>
      <c r="I9" s="4" t="s">
        <v>12</v>
      </c>
      <c r="J9" s="4" t="s">
        <v>393</v>
      </c>
    </row>
    <row r="10" spans="1:13" x14ac:dyDescent="0.25">
      <c r="A10" s="4" t="s">
        <v>398</v>
      </c>
      <c r="B10" s="4" t="s">
        <v>386</v>
      </c>
      <c r="C10" s="4" t="s">
        <v>387</v>
      </c>
      <c r="D10" s="4" t="s">
        <v>12</v>
      </c>
      <c r="G10" s="4" t="s">
        <v>12</v>
      </c>
      <c r="H10" s="4" t="s">
        <v>12</v>
      </c>
      <c r="I10" s="4" t="s">
        <v>12</v>
      </c>
      <c r="J10" s="4" t="s">
        <v>393</v>
      </c>
    </row>
    <row r="11" spans="1:13" x14ac:dyDescent="0.25">
      <c r="A11" s="4" t="s">
        <v>399</v>
      </c>
      <c r="B11" s="4" t="s">
        <v>388</v>
      </c>
      <c r="C11" s="4" t="s">
        <v>387</v>
      </c>
      <c r="D11" s="4" t="s">
        <v>389</v>
      </c>
      <c r="E11" s="163">
        <v>45894</v>
      </c>
      <c r="F11" s="163">
        <v>45954</v>
      </c>
      <c r="G11" s="4" t="s">
        <v>390</v>
      </c>
      <c r="H11" s="4" t="s">
        <v>391</v>
      </c>
      <c r="I11" s="4" t="s">
        <v>392</v>
      </c>
      <c r="J11" s="4" t="s">
        <v>393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6E2-60B1-4DEB-B5B1-E868116F4805}">
  <sheetPr codeName="Planilha4"/>
  <dimension ref="A1:I26"/>
  <sheetViews>
    <sheetView showGridLines="0" view="pageBreakPreview" topLeftCell="A14" zoomScale="70" zoomScaleNormal="100" zoomScaleSheetLayoutView="70" workbookViewId="0">
      <selection activeCell="A14" sqref="A14:XFD14"/>
    </sheetView>
  </sheetViews>
  <sheetFormatPr defaultColWidth="9.140625" defaultRowHeight="15" x14ac:dyDescent="0.2"/>
  <cols>
    <col min="1" max="1" width="9.140625" style="99"/>
    <col min="2" max="2" width="7.85546875" style="153" customWidth="1"/>
    <col min="3" max="3" width="5.42578125" style="153" customWidth="1"/>
    <col min="4" max="4" width="13.42578125" style="154" customWidth="1"/>
    <col min="5" max="5" width="66.42578125" style="155" customWidth="1"/>
    <col min="6" max="6" width="22.42578125" style="156" customWidth="1"/>
    <col min="7" max="7" width="17.140625" style="157" customWidth="1"/>
    <col min="8" max="8" width="18.7109375" style="153" customWidth="1"/>
    <col min="9" max="9" width="83" style="158" customWidth="1"/>
    <col min="10" max="10" width="82.85546875" style="99" customWidth="1"/>
    <col min="11" max="16384" width="9.140625" style="99"/>
  </cols>
  <sheetData>
    <row r="1" spans="1:9" ht="46.5" customHeight="1" x14ac:dyDescent="0.2">
      <c r="B1" s="164" t="s">
        <v>2</v>
      </c>
      <c r="C1" s="165"/>
      <c r="D1" s="165"/>
      <c r="E1" s="166"/>
      <c r="F1" s="100" t="s">
        <v>4</v>
      </c>
      <c r="G1" s="100" t="s">
        <v>256</v>
      </c>
      <c r="H1" s="101" t="s">
        <v>257</v>
      </c>
      <c r="I1" s="102" t="s">
        <v>258</v>
      </c>
    </row>
    <row r="2" spans="1:9" ht="75" customHeight="1" x14ac:dyDescent="0.2">
      <c r="A2" s="99">
        <f>IF(D2&lt;&gt;"",D2,IF(C2&lt;&gt;"",C2,B2))</f>
        <v>1</v>
      </c>
      <c r="B2" s="103">
        <v>1</v>
      </c>
      <c r="C2" s="104"/>
      <c r="D2" s="104"/>
      <c r="E2" s="105" t="s">
        <v>80</v>
      </c>
      <c r="F2" s="106" t="s">
        <v>146</v>
      </c>
      <c r="G2" s="107">
        <v>45930</v>
      </c>
      <c r="H2" s="108" t="s">
        <v>147</v>
      </c>
      <c r="I2" s="109" t="s">
        <v>175</v>
      </c>
    </row>
    <row r="3" spans="1:9" ht="60" customHeight="1" x14ac:dyDescent="0.2">
      <c r="A3" s="99">
        <f t="shared" ref="A3:A26" si="0">IF(D3&lt;&gt;"",D3,IF(C3&lt;&gt;"",C3,B3))</f>
        <v>2</v>
      </c>
      <c r="B3" s="110">
        <v>2</v>
      </c>
      <c r="C3" s="111"/>
      <c r="D3" s="111"/>
      <c r="E3" s="112" t="s">
        <v>81</v>
      </c>
      <c r="F3" s="113" t="s">
        <v>148</v>
      </c>
      <c r="G3" s="114">
        <v>45953</v>
      </c>
      <c r="H3" s="113" t="s">
        <v>149</v>
      </c>
      <c r="I3" s="115" t="s">
        <v>176</v>
      </c>
    </row>
    <row r="4" spans="1:9" ht="111" customHeight="1" x14ac:dyDescent="0.2">
      <c r="A4" s="99" t="str">
        <f t="shared" si="0"/>
        <v>2.1.</v>
      </c>
      <c r="B4" s="116"/>
      <c r="C4" s="117" t="s">
        <v>259</v>
      </c>
      <c r="D4" s="118"/>
      <c r="E4" s="119" t="s">
        <v>82</v>
      </c>
      <c r="F4" s="120" t="s">
        <v>150</v>
      </c>
      <c r="G4" s="121">
        <v>45850</v>
      </c>
      <c r="H4" s="120" t="s">
        <v>149</v>
      </c>
      <c r="I4" s="122" t="s">
        <v>177</v>
      </c>
    </row>
    <row r="5" spans="1:9" ht="39.75" customHeight="1" x14ac:dyDescent="0.2">
      <c r="A5" s="99" t="str">
        <f t="shared" si="0"/>
        <v>2.2.</v>
      </c>
      <c r="B5" s="123"/>
      <c r="C5" s="124" t="s">
        <v>260</v>
      </c>
      <c r="D5" s="125"/>
      <c r="E5" s="126" t="s">
        <v>83</v>
      </c>
      <c r="F5" s="120" t="s">
        <v>151</v>
      </c>
      <c r="G5" s="121">
        <v>45850</v>
      </c>
      <c r="H5" s="120" t="s">
        <v>149</v>
      </c>
      <c r="I5" s="122" t="s">
        <v>178</v>
      </c>
    </row>
    <row r="6" spans="1:9" ht="42" customHeight="1" x14ac:dyDescent="0.2">
      <c r="A6" s="99" t="str">
        <f t="shared" si="0"/>
        <v>2.3.</v>
      </c>
      <c r="B6" s="123"/>
      <c r="C6" s="124" t="s">
        <v>261</v>
      </c>
      <c r="D6" s="125"/>
      <c r="E6" s="127" t="s">
        <v>84</v>
      </c>
      <c r="F6" s="120" t="s">
        <v>151</v>
      </c>
      <c r="G6" s="121">
        <v>45850</v>
      </c>
      <c r="H6" s="120" t="s">
        <v>149</v>
      </c>
      <c r="I6" s="122" t="s">
        <v>179</v>
      </c>
    </row>
    <row r="7" spans="1:9" ht="40.5" customHeight="1" x14ac:dyDescent="0.2">
      <c r="A7" s="99" t="str">
        <f t="shared" si="0"/>
        <v>2..4.</v>
      </c>
      <c r="B7" s="123"/>
      <c r="C7" s="124" t="s">
        <v>262</v>
      </c>
      <c r="D7" s="125"/>
      <c r="E7" s="128" t="s">
        <v>86</v>
      </c>
      <c r="F7" s="120" t="s">
        <v>152</v>
      </c>
      <c r="G7" s="121">
        <v>45881</v>
      </c>
      <c r="H7" s="120" t="s">
        <v>149</v>
      </c>
      <c r="I7" s="129" t="s">
        <v>180</v>
      </c>
    </row>
    <row r="8" spans="1:9" ht="41.25" customHeight="1" x14ac:dyDescent="0.2">
      <c r="A8" s="99" t="str">
        <f t="shared" si="0"/>
        <v>2.5.</v>
      </c>
      <c r="B8" s="123"/>
      <c r="C8" s="124" t="s">
        <v>263</v>
      </c>
      <c r="D8" s="125"/>
      <c r="E8" s="126" t="s">
        <v>88</v>
      </c>
      <c r="F8" s="120" t="s">
        <v>152</v>
      </c>
      <c r="G8" s="121">
        <v>45916</v>
      </c>
      <c r="H8" s="120" t="s">
        <v>149</v>
      </c>
      <c r="I8" s="130" t="s">
        <v>181</v>
      </c>
    </row>
    <row r="9" spans="1:9" ht="40.5" customHeight="1" x14ac:dyDescent="0.2">
      <c r="A9" s="99" t="str">
        <f t="shared" si="0"/>
        <v>2.6</v>
      </c>
      <c r="B9" s="123"/>
      <c r="C9" s="131" t="s">
        <v>89</v>
      </c>
      <c r="D9" s="125"/>
      <c r="E9" s="128" t="s">
        <v>90</v>
      </c>
      <c r="F9" s="120" t="s">
        <v>148</v>
      </c>
      <c r="G9" s="121">
        <v>45953</v>
      </c>
      <c r="H9" s="120" t="s">
        <v>149</v>
      </c>
      <c r="I9" s="132"/>
    </row>
    <row r="10" spans="1:9" ht="36.950000000000003" customHeight="1" x14ac:dyDescent="0.2">
      <c r="A10" s="99">
        <f t="shared" si="0"/>
        <v>3</v>
      </c>
      <c r="B10" s="110">
        <v>3</v>
      </c>
      <c r="C10" s="111"/>
      <c r="D10" s="111"/>
      <c r="E10" s="133" t="s">
        <v>91</v>
      </c>
      <c r="F10" s="113" t="s">
        <v>150</v>
      </c>
      <c r="G10" s="114">
        <v>46081</v>
      </c>
      <c r="H10" s="113" t="s">
        <v>149</v>
      </c>
      <c r="I10" s="134"/>
    </row>
    <row r="11" spans="1:9" s="138" customFormat="1" ht="46.5" customHeight="1" x14ac:dyDescent="0.2">
      <c r="A11" s="99" t="str">
        <f t="shared" si="0"/>
        <v>3.1.</v>
      </c>
      <c r="B11" s="135"/>
      <c r="C11" s="124" t="s">
        <v>264</v>
      </c>
      <c r="D11" s="124"/>
      <c r="E11" s="136" t="s">
        <v>92</v>
      </c>
      <c r="F11" s="137" t="s">
        <v>151</v>
      </c>
      <c r="G11" s="107">
        <v>45820</v>
      </c>
      <c r="H11" s="137" t="s">
        <v>129</v>
      </c>
      <c r="I11" s="129" t="s">
        <v>182</v>
      </c>
    </row>
    <row r="12" spans="1:9" s="139" customFormat="1" ht="38.25" customHeight="1" x14ac:dyDescent="0.2">
      <c r="A12" s="99" t="str">
        <f t="shared" si="0"/>
        <v xml:space="preserve">3.1.1. </v>
      </c>
      <c r="B12" s="123"/>
      <c r="C12" s="124"/>
      <c r="D12" s="124" t="s">
        <v>265</v>
      </c>
      <c r="E12" s="126" t="s">
        <v>94</v>
      </c>
      <c r="F12" s="120" t="s">
        <v>151</v>
      </c>
      <c r="G12" s="121">
        <v>45820</v>
      </c>
      <c r="H12" s="120" t="s">
        <v>129</v>
      </c>
      <c r="I12" s="122" t="s">
        <v>183</v>
      </c>
    </row>
    <row r="13" spans="1:9" s="139" customFormat="1" ht="33" customHeight="1" x14ac:dyDescent="0.2">
      <c r="A13" s="99" t="str">
        <f t="shared" si="0"/>
        <v>3.2.2.</v>
      </c>
      <c r="B13" s="123"/>
      <c r="C13" s="124"/>
      <c r="D13" s="124" t="s">
        <v>266</v>
      </c>
      <c r="E13" s="128" t="s">
        <v>96</v>
      </c>
      <c r="F13" s="120" t="s">
        <v>153</v>
      </c>
      <c r="G13" s="121">
        <v>45916</v>
      </c>
      <c r="H13" s="120" t="s">
        <v>129</v>
      </c>
      <c r="I13" s="129"/>
    </row>
    <row r="14" spans="1:9" s="138" customFormat="1" ht="43.5" customHeight="1" x14ac:dyDescent="0.2">
      <c r="A14" s="99" t="str">
        <f t="shared" si="0"/>
        <v>3.2.</v>
      </c>
      <c r="B14" s="135"/>
      <c r="C14" s="124" t="s">
        <v>267</v>
      </c>
      <c r="D14" s="124"/>
      <c r="E14" s="136" t="s">
        <v>97</v>
      </c>
      <c r="F14" s="137" t="s">
        <v>151</v>
      </c>
      <c r="G14" s="107">
        <v>46081</v>
      </c>
      <c r="H14" s="137" t="s">
        <v>129</v>
      </c>
      <c r="I14" s="129" t="s">
        <v>184</v>
      </c>
    </row>
    <row r="15" spans="1:9" s="139" customFormat="1" ht="51.75" customHeight="1" x14ac:dyDescent="0.2">
      <c r="A15" s="99" t="str">
        <f t="shared" si="0"/>
        <v>3.2.1.</v>
      </c>
      <c r="B15" s="123"/>
      <c r="C15" s="124"/>
      <c r="D15" s="124" t="s">
        <v>268</v>
      </c>
      <c r="E15" s="127" t="s">
        <v>99</v>
      </c>
      <c r="F15" s="120" t="s">
        <v>153</v>
      </c>
      <c r="G15" s="121">
        <v>46052</v>
      </c>
      <c r="H15" s="140" t="s">
        <v>154</v>
      </c>
      <c r="I15" s="129"/>
    </row>
    <row r="16" spans="1:9" s="139" customFormat="1" ht="24.95" customHeight="1" x14ac:dyDescent="0.2">
      <c r="A16" s="99" t="str">
        <f t="shared" si="0"/>
        <v>3.2.2.1.</v>
      </c>
      <c r="B16" s="123"/>
      <c r="C16" s="124"/>
      <c r="D16" s="141" t="s">
        <v>269</v>
      </c>
      <c r="E16" s="142" t="s">
        <v>101</v>
      </c>
      <c r="F16" s="120" t="s">
        <v>155</v>
      </c>
      <c r="G16" s="121">
        <v>46038</v>
      </c>
      <c r="H16" s="120" t="s">
        <v>156</v>
      </c>
      <c r="I16" s="129"/>
    </row>
    <row r="17" spans="1:9" s="139" customFormat="1" ht="24.95" customHeight="1" x14ac:dyDescent="0.2">
      <c r="A17" s="99" t="str">
        <f t="shared" si="0"/>
        <v>3.2.2.2.</v>
      </c>
      <c r="B17" s="123"/>
      <c r="C17" s="143"/>
      <c r="D17" s="141" t="s">
        <v>270</v>
      </c>
      <c r="E17" s="142" t="s">
        <v>103</v>
      </c>
      <c r="F17" s="120" t="s">
        <v>157</v>
      </c>
      <c r="G17" s="121">
        <v>46038</v>
      </c>
      <c r="H17" s="120" t="s">
        <v>156</v>
      </c>
      <c r="I17" s="129"/>
    </row>
    <row r="18" spans="1:9" ht="24.95" customHeight="1" x14ac:dyDescent="0.2">
      <c r="A18" s="99" t="str">
        <f t="shared" si="0"/>
        <v>3.2.2.3.</v>
      </c>
      <c r="B18" s="123"/>
      <c r="C18" s="125"/>
      <c r="D18" s="141" t="s">
        <v>271</v>
      </c>
      <c r="E18" s="142" t="s">
        <v>105</v>
      </c>
      <c r="F18" s="120" t="s">
        <v>158</v>
      </c>
      <c r="G18" s="121">
        <v>46038</v>
      </c>
      <c r="H18" s="120" t="s">
        <v>156</v>
      </c>
      <c r="I18" s="144"/>
    </row>
    <row r="19" spans="1:9" ht="24.95" customHeight="1" x14ac:dyDescent="0.2">
      <c r="A19" s="99" t="str">
        <f t="shared" si="0"/>
        <v>3.2.2.4.</v>
      </c>
      <c r="B19" s="123"/>
      <c r="C19" s="125"/>
      <c r="D19" s="141" t="s">
        <v>272</v>
      </c>
      <c r="E19" s="142" t="s">
        <v>107</v>
      </c>
      <c r="F19" s="120" t="s">
        <v>159</v>
      </c>
      <c r="G19" s="121">
        <v>46038</v>
      </c>
      <c r="H19" s="120" t="s">
        <v>160</v>
      </c>
      <c r="I19" s="144"/>
    </row>
    <row r="20" spans="1:9" ht="24.95" customHeight="1" x14ac:dyDescent="0.2">
      <c r="A20" s="99" t="str">
        <f t="shared" si="0"/>
        <v>3.2.2.5.</v>
      </c>
      <c r="B20" s="123"/>
      <c r="C20" s="125"/>
      <c r="D20" s="141" t="s">
        <v>273</v>
      </c>
      <c r="E20" s="142" t="s">
        <v>109</v>
      </c>
      <c r="F20" s="145"/>
      <c r="G20" s="121">
        <v>46038</v>
      </c>
      <c r="H20" s="120" t="s">
        <v>161</v>
      </c>
      <c r="I20" s="144"/>
    </row>
    <row r="21" spans="1:9" ht="36.75" customHeight="1" x14ac:dyDescent="0.2">
      <c r="A21" s="99" t="str">
        <f t="shared" si="0"/>
        <v xml:space="preserve">3.2.2.6. </v>
      </c>
      <c r="B21" s="123"/>
      <c r="C21" s="125"/>
      <c r="D21" s="141" t="s">
        <v>274</v>
      </c>
      <c r="E21" s="142" t="s">
        <v>111</v>
      </c>
      <c r="F21" s="120" t="s">
        <v>162</v>
      </c>
      <c r="G21" s="121">
        <v>46038</v>
      </c>
      <c r="H21" s="120" t="s">
        <v>163</v>
      </c>
      <c r="I21" s="144"/>
    </row>
    <row r="22" spans="1:9" ht="24.95" customHeight="1" x14ac:dyDescent="0.2">
      <c r="A22" s="99" t="str">
        <f t="shared" si="0"/>
        <v>3.2.2.7.</v>
      </c>
      <c r="B22" s="123"/>
      <c r="C22" s="125"/>
      <c r="D22" s="141" t="s">
        <v>275</v>
      </c>
      <c r="E22" s="142" t="s">
        <v>113</v>
      </c>
      <c r="F22" s="120" t="s">
        <v>164</v>
      </c>
      <c r="G22" s="121">
        <v>46038</v>
      </c>
      <c r="H22" s="120" t="s">
        <v>165</v>
      </c>
      <c r="I22" s="144"/>
    </row>
    <row r="23" spans="1:9" s="148" customFormat="1" ht="28.5" customHeight="1" x14ac:dyDescent="0.25">
      <c r="A23" s="99" t="str">
        <f t="shared" si="0"/>
        <v>3.3.</v>
      </c>
      <c r="B23" s="135"/>
      <c r="C23" s="124" t="s">
        <v>276</v>
      </c>
      <c r="D23" s="146"/>
      <c r="E23" s="136" t="s">
        <v>115</v>
      </c>
      <c r="F23" s="137" t="s">
        <v>153</v>
      </c>
      <c r="G23" s="107">
        <v>46072</v>
      </c>
      <c r="H23" s="137" t="s">
        <v>129</v>
      </c>
      <c r="I23" s="147"/>
    </row>
    <row r="24" spans="1:9" s="148" customFormat="1" ht="34.5" customHeight="1" x14ac:dyDescent="0.25">
      <c r="A24" s="99" t="str">
        <f t="shared" si="0"/>
        <v>3.4.</v>
      </c>
      <c r="B24" s="135"/>
      <c r="C24" s="124" t="s">
        <v>277</v>
      </c>
      <c r="D24" s="146"/>
      <c r="E24" s="136" t="s">
        <v>117</v>
      </c>
      <c r="F24" s="149" t="s">
        <v>166</v>
      </c>
      <c r="G24" s="107">
        <v>46079</v>
      </c>
      <c r="H24" s="137" t="s">
        <v>167</v>
      </c>
      <c r="I24" s="147"/>
    </row>
    <row r="25" spans="1:9" ht="27" customHeight="1" x14ac:dyDescent="0.2">
      <c r="A25" s="99" t="str">
        <f t="shared" si="0"/>
        <v>3.5.</v>
      </c>
      <c r="B25" s="123"/>
      <c r="C25" s="124" t="s">
        <v>278</v>
      </c>
      <c r="D25" s="124"/>
      <c r="E25" s="136" t="s">
        <v>119</v>
      </c>
      <c r="F25" s="137" t="s">
        <v>153</v>
      </c>
      <c r="G25" s="107">
        <v>46081</v>
      </c>
      <c r="H25" s="137" t="s">
        <v>129</v>
      </c>
      <c r="I25" s="144"/>
    </row>
    <row r="26" spans="1:9" ht="42" customHeight="1" x14ac:dyDescent="0.2">
      <c r="A26" s="99" t="str">
        <f t="shared" si="0"/>
        <v>3.6.</v>
      </c>
      <c r="B26" s="123"/>
      <c r="C26" s="124" t="s">
        <v>279</v>
      </c>
      <c r="D26" s="150"/>
      <c r="E26" s="151" t="s">
        <v>121</v>
      </c>
      <c r="F26" s="149" t="s">
        <v>168</v>
      </c>
      <c r="G26" s="107">
        <v>46157</v>
      </c>
      <c r="H26" s="137" t="s">
        <v>149</v>
      </c>
      <c r="I26" s="152"/>
    </row>
  </sheetData>
  <mergeCells count="1">
    <mergeCell ref="B1:E1"/>
  </mergeCells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39" orientation="landscape" r:id="rId1"/>
  <rowBreaks count="1" manualBreakCount="1">
    <brk id="26" min="1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10B9-27EF-4AC8-9DA5-B9AC7421201F}">
  <sheetPr codeName="Planilha5"/>
  <dimension ref="A1:I40"/>
  <sheetViews>
    <sheetView topLeftCell="C12" zoomScale="112" zoomScaleNormal="112" workbookViewId="0">
      <selection activeCell="A14" sqref="A14:XFD14"/>
    </sheetView>
  </sheetViews>
  <sheetFormatPr defaultRowHeight="15" x14ac:dyDescent="0.25"/>
  <cols>
    <col min="1" max="1" width="17.5703125" customWidth="1"/>
    <col min="2" max="2" width="85.42578125" customWidth="1"/>
    <col min="3" max="3" width="67.85546875" customWidth="1"/>
    <col min="4" max="4" width="18.42578125" customWidth="1"/>
    <col min="5" max="5" width="12.5703125" bestFit="1" customWidth="1"/>
    <col min="6" max="6" width="15" bestFit="1" customWidth="1"/>
    <col min="7" max="7" width="13.140625" bestFit="1" customWidth="1"/>
    <col min="8" max="8" width="17" bestFit="1" customWidth="1"/>
    <col min="9" max="9" width="24.140625" customWidth="1"/>
  </cols>
  <sheetData>
    <row r="1" spans="1:9" x14ac:dyDescent="0.25">
      <c r="A1" s="27" t="s">
        <v>236</v>
      </c>
      <c r="B1" s="28" t="s">
        <v>140</v>
      </c>
    </row>
    <row r="2" spans="1:9" x14ac:dyDescent="0.25">
      <c r="A2" s="29" t="s">
        <v>237</v>
      </c>
      <c r="B2" s="30" t="s">
        <v>238</v>
      </c>
    </row>
    <row r="3" spans="1:9" x14ac:dyDescent="0.25">
      <c r="A3" s="29" t="s">
        <v>4</v>
      </c>
      <c r="B3" s="31" t="s">
        <v>239</v>
      </c>
    </row>
    <row r="4" spans="1:9" x14ac:dyDescent="0.25">
      <c r="A4" s="29" t="s">
        <v>240</v>
      </c>
      <c r="B4" s="32" t="s">
        <v>241</v>
      </c>
    </row>
    <row r="5" spans="1:9" x14ac:dyDescent="0.25">
      <c r="A5" s="167" t="s">
        <v>242</v>
      </c>
      <c r="B5" s="30" t="s">
        <v>243</v>
      </c>
    </row>
    <row r="6" spans="1:9" ht="30" x14ac:dyDescent="0.25">
      <c r="A6" s="167"/>
      <c r="B6" s="33" t="s">
        <v>244</v>
      </c>
    </row>
    <row r="7" spans="1:9" ht="30" x14ac:dyDescent="0.25">
      <c r="A7" s="168"/>
      <c r="B7" s="33" t="s">
        <v>245</v>
      </c>
    </row>
    <row r="8" spans="1:9" ht="15.75" thickBot="1" x14ac:dyDescent="0.3">
      <c r="A8" s="169"/>
      <c r="B8" s="34" t="s">
        <v>246</v>
      </c>
    </row>
    <row r="10" spans="1:9" ht="15.75" thickBot="1" x14ac:dyDescent="0.3"/>
    <row r="11" spans="1:9" ht="15.75" thickBot="1" x14ac:dyDescent="0.3">
      <c r="A11" s="170" t="s">
        <v>247</v>
      </c>
      <c r="B11" s="171"/>
      <c r="C11" s="171"/>
      <c r="D11" s="171"/>
      <c r="E11" s="171"/>
      <c r="F11" s="171"/>
      <c r="G11" s="171"/>
      <c r="H11" s="171"/>
      <c r="I11" s="172"/>
    </row>
    <row r="12" spans="1:9" ht="15.75" thickBot="1" x14ac:dyDescent="0.3">
      <c r="A12" s="35" t="s">
        <v>194</v>
      </c>
      <c r="B12" s="36" t="s">
        <v>248</v>
      </c>
      <c r="C12" s="36" t="s">
        <v>249</v>
      </c>
      <c r="D12" s="36" t="s">
        <v>4</v>
      </c>
      <c r="E12" s="36" t="s">
        <v>208</v>
      </c>
      <c r="F12" s="36" t="s">
        <v>209</v>
      </c>
      <c r="G12" s="36" t="s">
        <v>3</v>
      </c>
      <c r="H12" s="36" t="s">
        <v>250</v>
      </c>
      <c r="I12" s="37" t="s">
        <v>8</v>
      </c>
    </row>
    <row r="13" spans="1:9" ht="45" x14ac:dyDescent="0.25">
      <c r="A13" s="38">
        <v>1</v>
      </c>
      <c r="B13" s="39" t="s">
        <v>34</v>
      </c>
      <c r="C13" s="40" t="s">
        <v>251</v>
      </c>
      <c r="D13" s="40" t="s">
        <v>135</v>
      </c>
      <c r="E13" s="41">
        <v>45717</v>
      </c>
      <c r="F13" s="41">
        <v>46357</v>
      </c>
      <c r="G13" s="42" t="s">
        <v>35</v>
      </c>
      <c r="H13" s="42"/>
      <c r="I13" s="43"/>
    </row>
    <row r="14" spans="1:9" x14ac:dyDescent="0.25">
      <c r="A14" s="44" t="s">
        <v>13</v>
      </c>
      <c r="B14" s="45" t="s">
        <v>36</v>
      </c>
      <c r="C14" s="46"/>
      <c r="D14" s="47" t="s">
        <v>136</v>
      </c>
      <c r="E14" s="48">
        <v>45627</v>
      </c>
      <c r="F14" s="49" t="s">
        <v>12</v>
      </c>
      <c r="G14" s="49" t="s">
        <v>37</v>
      </c>
      <c r="H14" s="49"/>
      <c r="I14" s="50" t="s">
        <v>172</v>
      </c>
    </row>
    <row r="15" spans="1:9" x14ac:dyDescent="0.25">
      <c r="A15" s="44" t="s">
        <v>15</v>
      </c>
      <c r="B15" s="45" t="s">
        <v>38</v>
      </c>
      <c r="C15" s="47"/>
      <c r="D15" s="47" t="s">
        <v>136</v>
      </c>
      <c r="E15" s="51">
        <v>45870</v>
      </c>
      <c r="F15" s="51">
        <v>45992</v>
      </c>
      <c r="G15" s="52" t="s">
        <v>35</v>
      </c>
      <c r="H15" s="52"/>
      <c r="I15" s="53"/>
    </row>
    <row r="16" spans="1:9" x14ac:dyDescent="0.25">
      <c r="A16" s="44" t="s">
        <v>17</v>
      </c>
      <c r="B16" s="45" t="s">
        <v>39</v>
      </c>
      <c r="C16" s="47"/>
      <c r="D16" s="47" t="s">
        <v>136</v>
      </c>
      <c r="E16" s="51">
        <v>46023</v>
      </c>
      <c r="F16" s="51">
        <v>46174</v>
      </c>
      <c r="G16" s="52" t="s">
        <v>40</v>
      </c>
      <c r="H16" s="52"/>
      <c r="I16" s="53" t="s">
        <v>172</v>
      </c>
    </row>
    <row r="17" spans="1:9" ht="30" x14ac:dyDescent="0.25">
      <c r="A17" s="44" t="s">
        <v>41</v>
      </c>
      <c r="B17" s="45" t="s">
        <v>42</v>
      </c>
      <c r="C17" s="47"/>
      <c r="D17" s="47" t="s">
        <v>137</v>
      </c>
      <c r="E17" s="51">
        <v>45839</v>
      </c>
      <c r="F17" s="51">
        <v>45992</v>
      </c>
      <c r="G17" s="52" t="s">
        <v>35</v>
      </c>
      <c r="H17" s="52"/>
      <c r="I17" s="53"/>
    </row>
    <row r="18" spans="1:9" ht="45" x14ac:dyDescent="0.25">
      <c r="A18" s="44" t="s">
        <v>43</v>
      </c>
      <c r="B18" s="45" t="s">
        <v>44</v>
      </c>
      <c r="C18" s="47"/>
      <c r="D18" s="47" t="s">
        <v>138</v>
      </c>
      <c r="E18" s="51">
        <v>45717</v>
      </c>
      <c r="F18" s="51">
        <v>45992</v>
      </c>
      <c r="G18" s="52" t="s">
        <v>35</v>
      </c>
      <c r="H18" s="52"/>
      <c r="I18" s="54" t="s">
        <v>173</v>
      </c>
    </row>
    <row r="19" spans="1:9" x14ac:dyDescent="0.25">
      <c r="A19" s="44" t="s">
        <v>45</v>
      </c>
      <c r="B19" s="45" t="s">
        <v>46</v>
      </c>
      <c r="C19" s="47"/>
      <c r="D19" s="47" t="s">
        <v>138</v>
      </c>
      <c r="E19" s="51">
        <v>45717</v>
      </c>
      <c r="F19" s="51">
        <v>45931</v>
      </c>
      <c r="G19" s="52" t="s">
        <v>35</v>
      </c>
      <c r="H19" s="52"/>
      <c r="I19" s="53"/>
    </row>
    <row r="20" spans="1:9" ht="45.75" thickBot="1" x14ac:dyDescent="0.3">
      <c r="A20" s="55" t="s">
        <v>47</v>
      </c>
      <c r="B20" s="56" t="s">
        <v>48</v>
      </c>
      <c r="C20" s="57"/>
      <c r="D20" s="56" t="s">
        <v>139</v>
      </c>
      <c r="E20" s="58">
        <v>46023</v>
      </c>
      <c r="F20" s="58">
        <v>46357</v>
      </c>
      <c r="G20" s="59" t="s">
        <v>40</v>
      </c>
      <c r="H20" s="59"/>
      <c r="I20" s="60" t="s">
        <v>174</v>
      </c>
    </row>
    <row r="21" spans="1:9" ht="30" x14ac:dyDescent="0.25">
      <c r="A21" s="61">
        <v>2</v>
      </c>
      <c r="B21" s="62" t="s">
        <v>49</v>
      </c>
      <c r="C21" s="63"/>
      <c r="D21" s="63" t="s">
        <v>140</v>
      </c>
      <c r="E21" s="64">
        <v>45444</v>
      </c>
      <c r="F21" s="65">
        <v>45992</v>
      </c>
      <c r="G21" s="66" t="s">
        <v>35</v>
      </c>
      <c r="H21" s="66"/>
      <c r="I21" s="67"/>
    </row>
    <row r="22" spans="1:9" ht="60" x14ac:dyDescent="0.25">
      <c r="A22" s="68" t="s">
        <v>20</v>
      </c>
      <c r="B22" s="69" t="s">
        <v>50</v>
      </c>
      <c r="C22" s="70"/>
      <c r="D22" s="70" t="s">
        <v>140</v>
      </c>
      <c r="E22" s="64">
        <v>45444</v>
      </c>
      <c r="F22" s="64">
        <v>45689</v>
      </c>
      <c r="G22" s="71" t="s">
        <v>51</v>
      </c>
      <c r="H22" s="71"/>
      <c r="I22" s="72"/>
    </row>
    <row r="23" spans="1:9" x14ac:dyDescent="0.25">
      <c r="A23" s="68" t="s">
        <v>22</v>
      </c>
      <c r="B23" s="69" t="s">
        <v>52</v>
      </c>
      <c r="C23" s="70"/>
      <c r="D23" s="70" t="s">
        <v>138</v>
      </c>
      <c r="E23" s="64">
        <v>45717</v>
      </c>
      <c r="F23" s="64">
        <v>45931</v>
      </c>
      <c r="G23" s="71" t="s">
        <v>35</v>
      </c>
      <c r="H23" s="71"/>
      <c r="I23" s="72"/>
    </row>
    <row r="24" spans="1:9" ht="45.75" thickBot="1" x14ac:dyDescent="0.3">
      <c r="A24" s="73" t="s">
        <v>53</v>
      </c>
      <c r="B24" s="74" t="s">
        <v>54</v>
      </c>
      <c r="C24" s="75"/>
      <c r="D24" s="75" t="s">
        <v>141</v>
      </c>
      <c r="E24" s="76">
        <v>45809</v>
      </c>
      <c r="F24" s="76">
        <v>45992</v>
      </c>
      <c r="G24" s="77" t="s">
        <v>35</v>
      </c>
      <c r="H24" s="77"/>
      <c r="I24" s="78"/>
    </row>
    <row r="25" spans="1:9" ht="75" x14ac:dyDescent="0.25">
      <c r="A25" s="38">
        <v>3</v>
      </c>
      <c r="B25" s="40" t="s">
        <v>55</v>
      </c>
      <c r="C25" s="40" t="s">
        <v>252</v>
      </c>
      <c r="D25" s="40" t="s">
        <v>138</v>
      </c>
      <c r="E25" s="41">
        <v>45717</v>
      </c>
      <c r="F25" s="41">
        <v>46357</v>
      </c>
      <c r="G25" s="42" t="s">
        <v>35</v>
      </c>
      <c r="H25" s="42"/>
      <c r="I25" s="43"/>
    </row>
    <row r="26" spans="1:9" ht="45" x14ac:dyDescent="0.25">
      <c r="A26" s="44" t="s">
        <v>56</v>
      </c>
      <c r="B26" s="45" t="s">
        <v>57</v>
      </c>
      <c r="C26" s="45"/>
      <c r="D26" s="45" t="s">
        <v>142</v>
      </c>
      <c r="E26" s="51">
        <v>45717</v>
      </c>
      <c r="F26" s="51">
        <v>45992</v>
      </c>
      <c r="G26" s="52" t="s">
        <v>35</v>
      </c>
      <c r="H26" s="52"/>
      <c r="I26" s="53" t="s">
        <v>172</v>
      </c>
    </row>
    <row r="27" spans="1:9" ht="45.75" thickBot="1" x14ac:dyDescent="0.3">
      <c r="A27" s="55" t="s">
        <v>58</v>
      </c>
      <c r="B27" s="56" t="s">
        <v>59</v>
      </c>
      <c r="C27" s="56"/>
      <c r="D27" s="45" t="s">
        <v>143</v>
      </c>
      <c r="E27" s="58">
        <v>46023</v>
      </c>
      <c r="F27" s="58">
        <v>46357</v>
      </c>
      <c r="G27" s="59" t="s">
        <v>40</v>
      </c>
      <c r="H27" s="59"/>
      <c r="I27" s="60" t="s">
        <v>174</v>
      </c>
    </row>
    <row r="28" spans="1:9" ht="45" x14ac:dyDescent="0.25">
      <c r="A28" s="61">
        <v>4</v>
      </c>
      <c r="B28" s="62" t="s">
        <v>60</v>
      </c>
      <c r="C28" s="62" t="s">
        <v>253</v>
      </c>
      <c r="D28" s="62" t="s">
        <v>143</v>
      </c>
      <c r="E28" s="65">
        <v>45717</v>
      </c>
      <c r="F28" s="65">
        <v>46357</v>
      </c>
      <c r="G28" s="66" t="s">
        <v>35</v>
      </c>
      <c r="H28" s="66"/>
      <c r="I28" s="67"/>
    </row>
    <row r="29" spans="1:9" ht="30" x14ac:dyDescent="0.25">
      <c r="A29" s="68" t="s">
        <v>25</v>
      </c>
      <c r="B29" s="69" t="s">
        <v>61</v>
      </c>
      <c r="C29" s="70"/>
      <c r="D29" s="69" t="s">
        <v>143</v>
      </c>
      <c r="E29" s="64">
        <v>45717</v>
      </c>
      <c r="F29" s="64">
        <v>45992</v>
      </c>
      <c r="G29" s="71" t="s">
        <v>35</v>
      </c>
      <c r="H29" s="71"/>
      <c r="I29" s="72"/>
    </row>
    <row r="30" spans="1:9" ht="30.75" thickBot="1" x14ac:dyDescent="0.3">
      <c r="A30" s="79" t="s">
        <v>27</v>
      </c>
      <c r="B30" s="69" t="s">
        <v>62</v>
      </c>
      <c r="C30" s="80"/>
      <c r="D30" s="69" t="s">
        <v>143</v>
      </c>
      <c r="E30" s="81">
        <v>46023</v>
      </c>
      <c r="F30" s="81">
        <v>46357</v>
      </c>
      <c r="G30" s="82" t="s">
        <v>40</v>
      </c>
      <c r="H30" s="82"/>
      <c r="I30" s="83"/>
    </row>
    <row r="31" spans="1:9" ht="60" x14ac:dyDescent="0.25">
      <c r="A31" s="84">
        <v>5</v>
      </c>
      <c r="B31" s="40" t="s">
        <v>63</v>
      </c>
      <c r="C31" s="40" t="s">
        <v>254</v>
      </c>
      <c r="D31" s="40" t="s">
        <v>143</v>
      </c>
      <c r="E31" s="41">
        <v>46023</v>
      </c>
      <c r="F31" s="41">
        <v>46357</v>
      </c>
      <c r="G31" s="42" t="s">
        <v>40</v>
      </c>
      <c r="H31" s="42"/>
      <c r="I31" s="43"/>
    </row>
    <row r="32" spans="1:9" ht="30" x14ac:dyDescent="0.25">
      <c r="A32" s="44" t="s">
        <v>64</v>
      </c>
      <c r="B32" s="45" t="s">
        <v>65</v>
      </c>
      <c r="C32" s="47"/>
      <c r="D32" s="45" t="s">
        <v>143</v>
      </c>
      <c r="E32" s="51">
        <v>46023</v>
      </c>
      <c r="F32" s="51">
        <v>46204</v>
      </c>
      <c r="G32" s="52" t="s">
        <v>40</v>
      </c>
      <c r="H32" s="52"/>
      <c r="I32" s="53"/>
    </row>
    <row r="33" spans="1:9" ht="30" x14ac:dyDescent="0.25">
      <c r="A33" s="44" t="s">
        <v>66</v>
      </c>
      <c r="B33" s="45" t="s">
        <v>67</v>
      </c>
      <c r="C33" s="47"/>
      <c r="D33" s="45" t="s">
        <v>143</v>
      </c>
      <c r="E33" s="51">
        <v>46235</v>
      </c>
      <c r="F33" s="51">
        <v>46327</v>
      </c>
      <c r="G33" s="52" t="s">
        <v>40</v>
      </c>
      <c r="H33" s="52"/>
      <c r="I33" s="53"/>
    </row>
    <row r="34" spans="1:9" ht="30.75" thickBot="1" x14ac:dyDescent="0.3">
      <c r="A34" s="55" t="s">
        <v>68</v>
      </c>
      <c r="B34" s="56" t="s">
        <v>69</v>
      </c>
      <c r="C34" s="57"/>
      <c r="D34" s="56" t="s">
        <v>143</v>
      </c>
      <c r="E34" s="58">
        <v>46357</v>
      </c>
      <c r="F34" s="58">
        <v>46357</v>
      </c>
      <c r="G34" s="59" t="s">
        <v>40</v>
      </c>
      <c r="H34" s="59"/>
      <c r="I34" s="85"/>
    </row>
    <row r="35" spans="1:9" ht="60" x14ac:dyDescent="0.25">
      <c r="A35" s="86">
        <v>6</v>
      </c>
      <c r="B35" s="62" t="s">
        <v>70</v>
      </c>
      <c r="C35" s="62" t="s">
        <v>255</v>
      </c>
      <c r="D35" s="63" t="s">
        <v>144</v>
      </c>
      <c r="E35" s="65">
        <v>46388</v>
      </c>
      <c r="F35" s="65">
        <v>46813</v>
      </c>
      <c r="G35" s="66" t="s">
        <v>40</v>
      </c>
      <c r="H35" s="66"/>
      <c r="I35" s="67"/>
    </row>
    <row r="36" spans="1:9" x14ac:dyDescent="0.25">
      <c r="A36" s="87" t="s">
        <v>71</v>
      </c>
      <c r="B36" s="88" t="s">
        <v>72</v>
      </c>
      <c r="C36" s="88"/>
      <c r="D36" s="89" t="s">
        <v>145</v>
      </c>
      <c r="E36" s="90">
        <v>46388</v>
      </c>
      <c r="F36" s="90">
        <v>46539</v>
      </c>
      <c r="G36" s="91" t="s">
        <v>40</v>
      </c>
      <c r="H36" s="91"/>
      <c r="I36" s="92"/>
    </row>
    <row r="37" spans="1:9" x14ac:dyDescent="0.25">
      <c r="A37" s="68" t="s">
        <v>73</v>
      </c>
      <c r="B37" s="69" t="s">
        <v>74</v>
      </c>
      <c r="C37" s="69"/>
      <c r="D37" s="70" t="s">
        <v>141</v>
      </c>
      <c r="E37" s="64">
        <v>46569</v>
      </c>
      <c r="F37" s="64">
        <v>46600</v>
      </c>
      <c r="G37" s="71" t="s">
        <v>40</v>
      </c>
      <c r="H37" s="71"/>
      <c r="I37" s="72"/>
    </row>
    <row r="38" spans="1:9" x14ac:dyDescent="0.25">
      <c r="A38" s="68" t="s">
        <v>75</v>
      </c>
      <c r="B38" s="69" t="s">
        <v>76</v>
      </c>
      <c r="C38" s="69"/>
      <c r="D38" s="70" t="s">
        <v>141</v>
      </c>
      <c r="E38" s="64">
        <v>46631</v>
      </c>
      <c r="F38" s="64">
        <v>46722</v>
      </c>
      <c r="G38" s="71" t="s">
        <v>40</v>
      </c>
      <c r="H38" s="71"/>
      <c r="I38" s="72"/>
    </row>
    <row r="39" spans="1:9" ht="15.75" thickBot="1" x14ac:dyDescent="0.3">
      <c r="A39" s="73" t="s">
        <v>77</v>
      </c>
      <c r="B39" s="74" t="s">
        <v>78</v>
      </c>
      <c r="C39" s="74"/>
      <c r="D39" s="75" t="s">
        <v>141</v>
      </c>
      <c r="E39" s="76">
        <v>46753</v>
      </c>
      <c r="F39" s="76">
        <v>46813</v>
      </c>
      <c r="G39" s="77" t="s">
        <v>40</v>
      </c>
      <c r="H39" s="77"/>
      <c r="I39" s="78"/>
    </row>
    <row r="40" spans="1:9" ht="15.75" thickBot="1" x14ac:dyDescent="0.3">
      <c r="A40" s="93">
        <v>7</v>
      </c>
      <c r="B40" s="94" t="s">
        <v>79</v>
      </c>
      <c r="C40" s="95"/>
      <c r="D40" s="95" t="s">
        <v>140</v>
      </c>
      <c r="E40" s="96">
        <v>46023</v>
      </c>
      <c r="F40" s="96">
        <v>46174</v>
      </c>
      <c r="G40" s="97" t="s">
        <v>40</v>
      </c>
      <c r="H40" s="97"/>
      <c r="I40" s="98"/>
    </row>
  </sheetData>
  <mergeCells count="2">
    <mergeCell ref="A5:A8"/>
    <mergeCell ref="A11:I11"/>
  </mergeCells>
  <hyperlinks>
    <hyperlink ref="B4" r:id="rId1" xr:uid="{9B5BCDCB-F36C-4D6B-8FE8-7828487C846F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C072C-A410-48F1-8157-FABC1FC2F67E}">
  <sheetPr codeName="Planilha6"/>
  <dimension ref="A1:G18"/>
  <sheetViews>
    <sheetView showGridLines="0" topLeftCell="A5" zoomScale="85" zoomScaleNormal="85" workbookViewId="0">
      <selection activeCell="A14" sqref="A14:XFD14"/>
    </sheetView>
  </sheetViews>
  <sheetFormatPr defaultRowHeight="15" x14ac:dyDescent="0.25"/>
  <cols>
    <col min="2" max="2" width="10.42578125" customWidth="1"/>
    <col min="3" max="3" width="83.7109375" customWidth="1"/>
    <col min="4" max="4" width="15" customWidth="1"/>
    <col min="5" max="5" width="17.140625" customWidth="1"/>
    <col min="6" max="6" width="17.85546875" customWidth="1"/>
    <col min="7" max="7" width="69.85546875" customWidth="1"/>
    <col min="8" max="8" width="40.7109375" customWidth="1"/>
  </cols>
  <sheetData>
    <row r="1" spans="1:7" s="4" customFormat="1" ht="24.95" customHeight="1" x14ac:dyDescent="0.25">
      <c r="A1" s="9" t="s">
        <v>193</v>
      </c>
      <c r="B1" s="9" t="s">
        <v>194</v>
      </c>
      <c r="C1" s="176" t="s">
        <v>195</v>
      </c>
      <c r="D1" s="176"/>
      <c r="E1" s="176"/>
      <c r="F1" s="176"/>
      <c r="G1" s="176"/>
    </row>
    <row r="2" spans="1:7" ht="24" customHeight="1" x14ac:dyDescent="0.25">
      <c r="A2" s="10">
        <v>2020</v>
      </c>
      <c r="B2" s="10" t="s">
        <v>196</v>
      </c>
      <c r="C2" s="175" t="s">
        <v>197</v>
      </c>
      <c r="D2" s="175"/>
      <c r="E2" s="175"/>
      <c r="F2" s="175"/>
      <c r="G2" s="175"/>
    </row>
    <row r="3" spans="1:7" ht="73.5" customHeight="1" x14ac:dyDescent="0.25">
      <c r="A3" s="12" t="s">
        <v>198</v>
      </c>
      <c r="B3" s="12" t="s">
        <v>199</v>
      </c>
      <c r="C3" s="175" t="s">
        <v>200</v>
      </c>
      <c r="D3" s="175"/>
      <c r="E3" s="175"/>
      <c r="F3" s="175"/>
      <c r="G3" s="175"/>
    </row>
    <row r="4" spans="1:7" ht="32.25" customHeight="1" x14ac:dyDescent="0.25">
      <c r="A4" s="10">
        <v>2021</v>
      </c>
      <c r="B4" s="10" t="s">
        <v>201</v>
      </c>
      <c r="C4" s="175" t="s">
        <v>202</v>
      </c>
      <c r="D4" s="175"/>
      <c r="E4" s="175"/>
      <c r="F4" s="175"/>
      <c r="G4" s="175"/>
    </row>
    <row r="5" spans="1:7" ht="32.25" customHeight="1" x14ac:dyDescent="0.25">
      <c r="A5" s="10">
        <v>2021</v>
      </c>
      <c r="B5" s="10" t="s">
        <v>203</v>
      </c>
      <c r="C5" s="175" t="s">
        <v>204</v>
      </c>
      <c r="D5" s="175"/>
      <c r="E5" s="175"/>
      <c r="F5" s="175"/>
      <c r="G5" s="175"/>
    </row>
    <row r="6" spans="1:7" ht="28.5" customHeight="1" x14ac:dyDescent="0.25">
      <c r="A6" s="10">
        <v>2021</v>
      </c>
      <c r="B6" s="10" t="s">
        <v>205</v>
      </c>
      <c r="C6" s="175" t="s">
        <v>206</v>
      </c>
      <c r="D6" s="175"/>
      <c r="E6" s="175"/>
      <c r="F6" s="175"/>
      <c r="G6" s="175"/>
    </row>
    <row r="7" spans="1:7" ht="21.75" customHeight="1" x14ac:dyDescent="0.25">
      <c r="B7" s="13"/>
      <c r="C7" s="13"/>
      <c r="D7" s="161"/>
      <c r="E7" s="161"/>
      <c r="F7" s="13"/>
      <c r="G7" s="13"/>
    </row>
    <row r="8" spans="1:7" ht="24.95" customHeight="1" x14ac:dyDescent="0.25">
      <c r="B8" s="14" t="s">
        <v>194</v>
      </c>
      <c r="C8" s="14" t="s">
        <v>207</v>
      </c>
      <c r="D8" s="14" t="s">
        <v>208</v>
      </c>
      <c r="E8" s="14" t="s">
        <v>209</v>
      </c>
      <c r="F8" s="14" t="s">
        <v>3</v>
      </c>
      <c r="G8" s="14" t="s">
        <v>8</v>
      </c>
    </row>
    <row r="9" spans="1:7" ht="35.25" customHeight="1" x14ac:dyDescent="0.25">
      <c r="B9" s="15">
        <v>1</v>
      </c>
      <c r="C9" s="11" t="s">
        <v>122</v>
      </c>
      <c r="D9" s="16">
        <v>45803</v>
      </c>
      <c r="E9" s="16">
        <v>45807</v>
      </c>
      <c r="F9" s="10" t="s">
        <v>9</v>
      </c>
      <c r="G9" s="11" t="s">
        <v>185</v>
      </c>
    </row>
    <row r="10" spans="1:7" ht="27.75" customHeight="1" x14ac:dyDescent="0.25">
      <c r="B10" s="15">
        <v>2</v>
      </c>
      <c r="C10" s="11" t="s">
        <v>123</v>
      </c>
      <c r="D10" s="16">
        <v>45869</v>
      </c>
      <c r="E10" s="16">
        <v>45898</v>
      </c>
      <c r="F10" s="10" t="s">
        <v>124</v>
      </c>
      <c r="G10" s="10"/>
    </row>
    <row r="11" spans="1:7" ht="50.25" customHeight="1" x14ac:dyDescent="0.25">
      <c r="B11" s="15">
        <v>3</v>
      </c>
      <c r="C11" s="11" t="s">
        <v>125</v>
      </c>
      <c r="D11" s="16">
        <v>45869</v>
      </c>
      <c r="E11" s="16">
        <v>45912</v>
      </c>
      <c r="F11" s="10" t="s">
        <v>124</v>
      </c>
      <c r="G11" s="11" t="s">
        <v>186</v>
      </c>
    </row>
    <row r="12" spans="1:7" ht="50.25" customHeight="1" x14ac:dyDescent="0.25">
      <c r="B12" s="15">
        <v>4</v>
      </c>
      <c r="C12" s="11" t="s">
        <v>126</v>
      </c>
      <c r="D12" s="16">
        <v>45869</v>
      </c>
      <c r="E12" s="16">
        <v>45919</v>
      </c>
      <c r="F12" s="10" t="s">
        <v>124</v>
      </c>
      <c r="G12" s="11" t="s">
        <v>187</v>
      </c>
    </row>
    <row r="13" spans="1:7" ht="33.75" customHeight="1" x14ac:dyDescent="0.25">
      <c r="B13" s="15">
        <v>5</v>
      </c>
      <c r="C13" s="11" t="s">
        <v>127</v>
      </c>
      <c r="D13" s="16">
        <v>45915</v>
      </c>
      <c r="E13" s="16">
        <v>45926</v>
      </c>
      <c r="F13" s="10" t="s">
        <v>124</v>
      </c>
      <c r="G13" s="11" t="s">
        <v>188</v>
      </c>
    </row>
    <row r="14" spans="1:7" ht="51" customHeight="1" x14ac:dyDescent="0.25">
      <c r="B14" s="15">
        <v>6</v>
      </c>
      <c r="C14" s="11" t="s">
        <v>128</v>
      </c>
      <c r="D14" s="16">
        <v>45901</v>
      </c>
      <c r="E14" s="16">
        <v>45991</v>
      </c>
      <c r="F14" s="10" t="s">
        <v>124</v>
      </c>
      <c r="G14" s="11" t="s">
        <v>189</v>
      </c>
    </row>
    <row r="15" spans="1:7" x14ac:dyDescent="0.25">
      <c r="D15" s="17"/>
    </row>
    <row r="16" spans="1:7" x14ac:dyDescent="0.25">
      <c r="B16" s="173" t="s">
        <v>210</v>
      </c>
      <c r="C16" s="173"/>
      <c r="D16" s="173"/>
      <c r="E16" s="173"/>
      <c r="F16" s="173"/>
      <c r="G16" s="173"/>
    </row>
    <row r="17" spans="2:7" ht="28.5" customHeight="1" x14ac:dyDescent="0.25">
      <c r="B17" s="15">
        <v>1</v>
      </c>
      <c r="C17" s="174" t="s">
        <v>211</v>
      </c>
      <c r="D17" s="174"/>
      <c r="E17" s="174"/>
      <c r="F17" s="174"/>
      <c r="G17" s="174"/>
    </row>
    <row r="18" spans="2:7" ht="49.5" customHeight="1" x14ac:dyDescent="0.25">
      <c r="B18" s="15">
        <v>2</v>
      </c>
      <c r="C18" s="175" t="s">
        <v>212</v>
      </c>
      <c r="D18" s="175"/>
      <c r="E18" s="175"/>
      <c r="F18" s="175"/>
      <c r="G18" s="175"/>
    </row>
  </sheetData>
  <mergeCells count="9">
    <mergeCell ref="B16:G16"/>
    <mergeCell ref="C17:G17"/>
    <mergeCell ref="C18:G18"/>
    <mergeCell ref="C1:G1"/>
    <mergeCell ref="C2:G2"/>
    <mergeCell ref="C3:G3"/>
    <mergeCell ref="C4:G4"/>
    <mergeCell ref="C5:G5"/>
    <mergeCell ref="C6:G6"/>
  </mergeCells>
  <dataValidations count="1">
    <dataValidation type="list" allowBlank="1" showInputMessage="1" showErrorMessage="1" sqref="F9:F14" xr:uid="{474D8839-7AB2-4633-9AFA-FF2190D5C974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CB968-26EB-40A9-8991-81F74CC8FA7E}">
  <sheetPr codeName="Planilha7"/>
  <dimension ref="A1:F7"/>
  <sheetViews>
    <sheetView workbookViewId="0">
      <selection activeCell="A14" sqref="A14:XFD14"/>
    </sheetView>
  </sheetViews>
  <sheetFormatPr defaultRowHeight="15" x14ac:dyDescent="0.25"/>
  <cols>
    <col min="1" max="1" width="7.42578125" bestFit="1" customWidth="1"/>
    <col min="2" max="3" width="67.42578125" bestFit="1" customWidth="1"/>
    <col min="4" max="4" width="18.28515625" bestFit="1" customWidth="1"/>
    <col min="5" max="5" width="12.5703125" bestFit="1" customWidth="1"/>
    <col min="6" max="6" width="15.140625" bestFit="1" customWidth="1"/>
  </cols>
  <sheetData>
    <row r="1" spans="1:6" x14ac:dyDescent="0.25">
      <c r="A1" t="s">
        <v>194</v>
      </c>
      <c r="B1" t="s">
        <v>280</v>
      </c>
      <c r="C1" t="s">
        <v>281</v>
      </c>
      <c r="D1" t="s">
        <v>4</v>
      </c>
      <c r="E1" t="s">
        <v>344</v>
      </c>
      <c r="F1" t="s">
        <v>345</v>
      </c>
    </row>
    <row r="2" spans="1:6" x14ac:dyDescent="0.25">
      <c r="A2">
        <v>1</v>
      </c>
      <c r="B2" t="s">
        <v>346</v>
      </c>
      <c r="C2" t="s">
        <v>347</v>
      </c>
      <c r="D2" t="s">
        <v>348</v>
      </c>
      <c r="E2" s="159">
        <v>45839</v>
      </c>
      <c r="F2" s="159">
        <v>45992</v>
      </c>
    </row>
    <row r="3" spans="1:6" x14ac:dyDescent="0.25">
      <c r="A3">
        <v>2</v>
      </c>
      <c r="B3" t="s">
        <v>349</v>
      </c>
      <c r="C3" t="s">
        <v>350</v>
      </c>
      <c r="D3" t="s">
        <v>348</v>
      </c>
      <c r="E3" s="159">
        <v>45839</v>
      </c>
      <c r="F3" s="159">
        <v>45992</v>
      </c>
    </row>
    <row r="4" spans="1:6" x14ac:dyDescent="0.25">
      <c r="A4">
        <v>3</v>
      </c>
      <c r="B4" t="s">
        <v>351</v>
      </c>
      <c r="C4" t="s">
        <v>352</v>
      </c>
      <c r="D4" t="s">
        <v>353</v>
      </c>
      <c r="E4" s="159">
        <v>45901</v>
      </c>
      <c r="F4" s="159">
        <v>46357</v>
      </c>
    </row>
    <row r="5" spans="1:6" x14ac:dyDescent="0.25">
      <c r="A5">
        <v>4</v>
      </c>
      <c r="B5" t="s">
        <v>354</v>
      </c>
      <c r="C5" t="s">
        <v>355</v>
      </c>
      <c r="D5" t="s">
        <v>348</v>
      </c>
      <c r="E5" s="159">
        <v>46082</v>
      </c>
      <c r="F5" s="159">
        <v>46388</v>
      </c>
    </row>
    <row r="6" spans="1:6" x14ac:dyDescent="0.25">
      <c r="A6">
        <v>5</v>
      </c>
      <c r="B6" t="s">
        <v>356</v>
      </c>
      <c r="C6" t="s">
        <v>357</v>
      </c>
      <c r="D6" t="s">
        <v>348</v>
      </c>
      <c r="E6" s="159">
        <v>45839</v>
      </c>
      <c r="F6" s="159">
        <v>46082</v>
      </c>
    </row>
    <row r="7" spans="1:6" x14ac:dyDescent="0.25">
      <c r="A7">
        <v>6</v>
      </c>
      <c r="B7" t="s">
        <v>358</v>
      </c>
      <c r="C7" t="s">
        <v>359</v>
      </c>
      <c r="D7" t="s">
        <v>360</v>
      </c>
      <c r="E7" s="159">
        <v>46082</v>
      </c>
      <c r="F7" s="159">
        <v>46388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3005-FD10-48E1-B7C5-0007DE71898A}">
  <sheetPr codeName="Planilha8"/>
  <dimension ref="A1:F21"/>
  <sheetViews>
    <sheetView workbookViewId="0">
      <selection activeCell="A14" sqref="A14:XFD14"/>
    </sheetView>
  </sheetViews>
  <sheetFormatPr defaultRowHeight="15" x14ac:dyDescent="0.25"/>
  <cols>
    <col min="1" max="1" width="7.42578125" bestFit="1" customWidth="1"/>
    <col min="2" max="3" width="67.42578125" bestFit="1" customWidth="1"/>
    <col min="4" max="4" width="29.85546875" bestFit="1" customWidth="1"/>
    <col min="5" max="5" width="12.140625" bestFit="1" customWidth="1"/>
    <col min="6" max="6" width="14.5703125" bestFit="1" customWidth="1"/>
  </cols>
  <sheetData>
    <row r="1" spans="1:6" x14ac:dyDescent="0.25">
      <c r="A1" t="s">
        <v>194</v>
      </c>
      <c r="B1" t="s">
        <v>280</v>
      </c>
      <c r="C1" t="s">
        <v>281</v>
      </c>
      <c r="D1" t="s">
        <v>4</v>
      </c>
      <c r="E1" t="s">
        <v>282</v>
      </c>
      <c r="F1" t="s">
        <v>283</v>
      </c>
    </row>
    <row r="2" spans="1:6" x14ac:dyDescent="0.25">
      <c r="A2" t="s">
        <v>284</v>
      </c>
      <c r="B2" t="s">
        <v>285</v>
      </c>
      <c r="C2" t="s">
        <v>286</v>
      </c>
      <c r="D2" t="s">
        <v>287</v>
      </c>
      <c r="E2" s="159">
        <v>45789</v>
      </c>
      <c r="F2" s="159">
        <v>45825</v>
      </c>
    </row>
    <row r="3" spans="1:6" x14ac:dyDescent="0.25">
      <c r="A3" t="s">
        <v>13</v>
      </c>
      <c r="B3" t="s">
        <v>290</v>
      </c>
      <c r="C3" t="s">
        <v>291</v>
      </c>
      <c r="D3" t="s">
        <v>292</v>
      </c>
      <c r="E3" s="159">
        <v>45810</v>
      </c>
      <c r="F3" s="159">
        <v>45821</v>
      </c>
    </row>
    <row r="4" spans="1:6" x14ac:dyDescent="0.25">
      <c r="A4" t="s">
        <v>15</v>
      </c>
      <c r="B4" t="s">
        <v>295</v>
      </c>
      <c r="C4" t="s">
        <v>296</v>
      </c>
      <c r="D4" t="s">
        <v>292</v>
      </c>
      <c r="E4" s="159">
        <v>45870</v>
      </c>
      <c r="F4" s="159">
        <v>46203</v>
      </c>
    </row>
    <row r="5" spans="1:6" x14ac:dyDescent="0.25">
      <c r="A5" t="s">
        <v>17</v>
      </c>
      <c r="B5" t="s">
        <v>299</v>
      </c>
      <c r="C5" t="s">
        <v>300</v>
      </c>
      <c r="D5" t="s">
        <v>292</v>
      </c>
      <c r="E5" s="159">
        <v>46204</v>
      </c>
      <c r="F5" s="159">
        <v>46326</v>
      </c>
    </row>
    <row r="6" spans="1:6" x14ac:dyDescent="0.25">
      <c r="A6" t="s">
        <v>41</v>
      </c>
      <c r="B6" t="s">
        <v>303</v>
      </c>
      <c r="C6" t="s">
        <v>304</v>
      </c>
      <c r="D6" t="s">
        <v>292</v>
      </c>
      <c r="E6" s="159">
        <v>46296</v>
      </c>
      <c r="F6" s="159">
        <v>46387</v>
      </c>
    </row>
    <row r="7" spans="1:6" x14ac:dyDescent="0.25">
      <c r="A7" t="s">
        <v>43</v>
      </c>
      <c r="B7" t="s">
        <v>307</v>
      </c>
      <c r="C7" t="s">
        <v>308</v>
      </c>
      <c r="D7" t="s">
        <v>309</v>
      </c>
      <c r="E7" s="159">
        <v>45870</v>
      </c>
      <c r="F7" s="159">
        <v>46387</v>
      </c>
    </row>
    <row r="8" spans="1:6" x14ac:dyDescent="0.25">
      <c r="A8" t="s">
        <v>20</v>
      </c>
      <c r="B8" t="s">
        <v>310</v>
      </c>
      <c r="C8" t="s">
        <v>311</v>
      </c>
      <c r="D8" t="s">
        <v>312</v>
      </c>
      <c r="E8" s="159">
        <v>45821</v>
      </c>
      <c r="F8" s="159">
        <v>45869</v>
      </c>
    </row>
    <row r="9" spans="1:6" x14ac:dyDescent="0.25">
      <c r="A9" t="s">
        <v>22</v>
      </c>
      <c r="B9" t="s">
        <v>314</v>
      </c>
      <c r="C9" t="s">
        <v>296</v>
      </c>
      <c r="D9" t="s">
        <v>312</v>
      </c>
      <c r="E9" s="159">
        <v>45870</v>
      </c>
      <c r="F9" s="159">
        <v>46203</v>
      </c>
    </row>
    <row r="10" spans="1:6" x14ac:dyDescent="0.25">
      <c r="A10" t="s">
        <v>53</v>
      </c>
      <c r="B10" t="s">
        <v>315</v>
      </c>
      <c r="C10" t="s">
        <v>316</v>
      </c>
      <c r="D10" t="s">
        <v>312</v>
      </c>
      <c r="E10" s="159">
        <v>46204</v>
      </c>
      <c r="F10" s="159">
        <v>46326</v>
      </c>
    </row>
    <row r="11" spans="1:6" x14ac:dyDescent="0.25">
      <c r="A11" t="s">
        <v>317</v>
      </c>
      <c r="B11" t="s">
        <v>318</v>
      </c>
      <c r="C11" t="s">
        <v>304</v>
      </c>
      <c r="D11" t="s">
        <v>312</v>
      </c>
      <c r="E11" s="159">
        <v>46296</v>
      </c>
      <c r="F11" s="159">
        <v>46387</v>
      </c>
    </row>
    <row r="12" spans="1:6" x14ac:dyDescent="0.25">
      <c r="A12" t="s">
        <v>87</v>
      </c>
      <c r="B12" t="s">
        <v>319</v>
      </c>
      <c r="C12" t="s">
        <v>320</v>
      </c>
      <c r="D12" t="s">
        <v>321</v>
      </c>
      <c r="E12" s="159">
        <v>46388</v>
      </c>
      <c r="F12" s="159">
        <v>46477</v>
      </c>
    </row>
    <row r="13" spans="1:6" x14ac:dyDescent="0.25">
      <c r="A13" t="s">
        <v>56</v>
      </c>
      <c r="B13" t="s">
        <v>324</v>
      </c>
      <c r="C13" t="s">
        <v>325</v>
      </c>
      <c r="D13" t="s">
        <v>326</v>
      </c>
      <c r="E13" s="159">
        <v>46113</v>
      </c>
      <c r="F13" s="159">
        <v>46387</v>
      </c>
    </row>
    <row r="14" spans="1:6" x14ac:dyDescent="0.25">
      <c r="A14" t="s">
        <v>58</v>
      </c>
      <c r="B14" t="s">
        <v>328</v>
      </c>
      <c r="C14" t="s">
        <v>329</v>
      </c>
      <c r="D14" t="s">
        <v>326</v>
      </c>
      <c r="E14" s="159">
        <v>46388</v>
      </c>
      <c r="F14" s="159">
        <v>46752</v>
      </c>
    </row>
    <row r="15" spans="1:6" x14ac:dyDescent="0.25">
      <c r="A15" t="s">
        <v>25</v>
      </c>
      <c r="B15" t="s">
        <v>331</v>
      </c>
      <c r="C15" t="s">
        <v>332</v>
      </c>
      <c r="D15" t="s">
        <v>333</v>
      </c>
      <c r="E15" s="159">
        <v>46204</v>
      </c>
      <c r="F15" s="159">
        <v>46568</v>
      </c>
    </row>
    <row r="16" spans="1:6" x14ac:dyDescent="0.25">
      <c r="A16" t="s">
        <v>27</v>
      </c>
      <c r="B16" t="s">
        <v>335</v>
      </c>
      <c r="C16" t="s">
        <v>336</v>
      </c>
      <c r="D16" t="s">
        <v>333</v>
      </c>
      <c r="E16" s="159">
        <v>46569</v>
      </c>
      <c r="F16" s="159">
        <v>46752</v>
      </c>
    </row>
    <row r="17" spans="1:6" x14ac:dyDescent="0.25">
      <c r="A17" t="s">
        <v>64</v>
      </c>
      <c r="B17" t="s">
        <v>338</v>
      </c>
      <c r="C17" t="s">
        <v>339</v>
      </c>
      <c r="D17" t="s">
        <v>340</v>
      </c>
      <c r="E17" s="159">
        <v>46023</v>
      </c>
      <c r="F17" s="159">
        <v>46203</v>
      </c>
    </row>
    <row r="18" spans="1:6" x14ac:dyDescent="0.25">
      <c r="A18" t="s">
        <v>66</v>
      </c>
      <c r="B18" t="s">
        <v>342</v>
      </c>
      <c r="C18" t="s">
        <v>343</v>
      </c>
      <c r="D18" t="s">
        <v>326</v>
      </c>
      <c r="E18" s="159">
        <v>46569</v>
      </c>
      <c r="F18" s="159">
        <v>46752</v>
      </c>
    </row>
    <row r="19" spans="1:6" x14ac:dyDescent="0.25">
      <c r="E19" s="159"/>
      <c r="F19" s="159"/>
    </row>
    <row r="20" spans="1:6" x14ac:dyDescent="0.25">
      <c r="E20" s="159"/>
      <c r="F20" s="159"/>
    </row>
    <row r="21" spans="1:6" x14ac:dyDescent="0.25">
      <c r="E21" s="159"/>
      <c r="F21" s="159"/>
    </row>
  </sheetData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EF82D-2227-4415-A609-3BB1C7B538FD}">
  <sheetPr codeName="Planilha9"/>
  <dimension ref="B2:I17"/>
  <sheetViews>
    <sheetView topLeftCell="A12" zoomScale="55" zoomScaleNormal="55" workbookViewId="0">
      <selection activeCell="G21" sqref="G21"/>
    </sheetView>
  </sheetViews>
  <sheetFormatPr defaultColWidth="9.140625" defaultRowHeight="15" x14ac:dyDescent="0.25"/>
  <cols>
    <col min="1" max="1" width="4.5703125" style="18" customWidth="1"/>
    <col min="2" max="2" width="5" style="18" customWidth="1"/>
    <col min="3" max="3" width="54.140625" style="18" customWidth="1"/>
    <col min="4" max="4" width="24.7109375" style="18" bestFit="1" customWidth="1"/>
    <col min="5" max="5" width="33.5703125" style="18" customWidth="1"/>
    <col min="6" max="6" width="17.85546875" style="18" customWidth="1"/>
    <col min="7" max="7" width="24.5703125" style="18" bestFit="1" customWidth="1"/>
    <col min="8" max="8" width="23.5703125" style="18" bestFit="1" customWidth="1"/>
    <col min="9" max="9" width="52.85546875" style="18" customWidth="1"/>
    <col min="10" max="16384" width="9.140625" style="18"/>
  </cols>
  <sheetData>
    <row r="2" spans="2:9" ht="31.5" customHeight="1" x14ac:dyDescent="0.25">
      <c r="B2" s="180" t="s">
        <v>213</v>
      </c>
      <c r="C2" s="181"/>
      <c r="D2" s="181"/>
      <c r="E2" s="181"/>
      <c r="F2" s="181"/>
      <c r="G2" s="181"/>
      <c r="H2" s="181"/>
      <c r="I2" s="181"/>
    </row>
    <row r="3" spans="2:9" ht="31.5" x14ac:dyDescent="0.25">
      <c r="B3" s="19" t="s">
        <v>214</v>
      </c>
      <c r="C3" s="19" t="s">
        <v>215</v>
      </c>
      <c r="D3" s="19" t="s">
        <v>216</v>
      </c>
      <c r="E3" s="19" t="s">
        <v>217</v>
      </c>
      <c r="F3" s="19" t="s">
        <v>218</v>
      </c>
      <c r="G3" s="19" t="s">
        <v>219</v>
      </c>
      <c r="H3" s="19" t="s">
        <v>220</v>
      </c>
      <c r="I3" s="19" t="s">
        <v>221</v>
      </c>
    </row>
    <row r="4" spans="2:9" ht="154.5" customHeight="1" x14ac:dyDescent="0.25">
      <c r="B4" s="177">
        <v>1</v>
      </c>
      <c r="C4" s="177" t="s">
        <v>11</v>
      </c>
      <c r="D4" s="11" t="s">
        <v>14</v>
      </c>
      <c r="E4" s="11" t="s">
        <v>222</v>
      </c>
      <c r="F4" s="11" t="s">
        <v>129</v>
      </c>
      <c r="G4" s="20">
        <v>45758</v>
      </c>
      <c r="H4" s="21">
        <v>45807</v>
      </c>
      <c r="I4" s="20"/>
    </row>
    <row r="5" spans="2:9" ht="154.5" customHeight="1" x14ac:dyDescent="0.25">
      <c r="B5" s="178"/>
      <c r="C5" s="178"/>
      <c r="D5" s="11" t="s">
        <v>16</v>
      </c>
      <c r="E5" s="11" t="s">
        <v>223</v>
      </c>
      <c r="F5" s="11" t="s">
        <v>130</v>
      </c>
      <c r="G5" s="20">
        <v>45705</v>
      </c>
      <c r="H5" s="20">
        <v>45838</v>
      </c>
      <c r="I5" s="20" t="s">
        <v>169</v>
      </c>
    </row>
    <row r="6" spans="2:9" ht="154.5" customHeight="1" x14ac:dyDescent="0.25">
      <c r="B6" s="179"/>
      <c r="C6" s="179"/>
      <c r="D6" s="11" t="s">
        <v>18</v>
      </c>
      <c r="E6" s="11" t="s">
        <v>224</v>
      </c>
      <c r="F6" s="11" t="s">
        <v>131</v>
      </c>
      <c r="G6" s="20">
        <v>45839</v>
      </c>
      <c r="H6" s="20">
        <v>45842</v>
      </c>
      <c r="I6" s="20"/>
    </row>
    <row r="7" spans="2:9" ht="154.5" customHeight="1" x14ac:dyDescent="0.25">
      <c r="B7" s="178"/>
      <c r="C7" s="177" t="s">
        <v>19</v>
      </c>
      <c r="D7" s="11" t="s">
        <v>21</v>
      </c>
      <c r="E7" s="11" t="s">
        <v>225</v>
      </c>
      <c r="F7" s="23" t="s">
        <v>130</v>
      </c>
      <c r="G7" s="24">
        <v>45839</v>
      </c>
      <c r="H7" s="24">
        <v>45901</v>
      </c>
      <c r="I7" s="24" t="s">
        <v>170</v>
      </c>
    </row>
    <row r="8" spans="2:9" ht="154.5" customHeight="1" x14ac:dyDescent="0.25">
      <c r="B8" s="179"/>
      <c r="C8" s="179"/>
      <c r="D8" s="11" t="s">
        <v>18</v>
      </c>
      <c r="E8" s="11" t="s">
        <v>226</v>
      </c>
      <c r="F8" s="23" t="s">
        <v>131</v>
      </c>
      <c r="G8" s="24">
        <v>45901</v>
      </c>
      <c r="H8" s="24">
        <v>45905</v>
      </c>
      <c r="I8" s="24"/>
    </row>
    <row r="9" spans="2:9" ht="154.5" customHeight="1" x14ac:dyDescent="0.25">
      <c r="B9" s="22">
        <v>3</v>
      </c>
      <c r="C9" s="22" t="s">
        <v>227</v>
      </c>
      <c r="D9" s="11" t="s">
        <v>23</v>
      </c>
      <c r="E9" s="11" t="s">
        <v>228</v>
      </c>
      <c r="F9" s="23" t="s">
        <v>131</v>
      </c>
      <c r="G9" s="24">
        <v>45789</v>
      </c>
      <c r="H9" s="24">
        <v>45793</v>
      </c>
      <c r="I9" s="24"/>
    </row>
    <row r="10" spans="2:9" ht="154.5" customHeight="1" x14ac:dyDescent="0.25">
      <c r="B10" s="177">
        <v>4</v>
      </c>
      <c r="C10" s="177" t="s">
        <v>24</v>
      </c>
      <c r="D10" s="25" t="s">
        <v>26</v>
      </c>
      <c r="E10" s="25" t="s">
        <v>229</v>
      </c>
      <c r="F10" s="25" t="s">
        <v>132</v>
      </c>
      <c r="G10" s="21">
        <v>45735</v>
      </c>
      <c r="H10" s="20">
        <v>45807</v>
      </c>
      <c r="I10" s="20"/>
    </row>
    <row r="11" spans="2:9" s="26" customFormat="1" ht="154.5" customHeight="1" x14ac:dyDescent="0.25">
      <c r="B11" s="178"/>
      <c r="C11" s="178"/>
      <c r="D11" s="11" t="s">
        <v>28</v>
      </c>
      <c r="E11" s="11" t="s">
        <v>230</v>
      </c>
      <c r="F11" s="23" t="s">
        <v>131</v>
      </c>
      <c r="G11" s="21">
        <v>45784</v>
      </c>
      <c r="H11" s="21">
        <v>45821</v>
      </c>
      <c r="I11" s="25"/>
    </row>
    <row r="12" spans="2:9" ht="154.5" customHeight="1" x14ac:dyDescent="0.25">
      <c r="B12" s="179"/>
      <c r="C12" s="179"/>
      <c r="D12" s="11" t="s">
        <v>30</v>
      </c>
      <c r="E12" s="11" t="s">
        <v>231</v>
      </c>
      <c r="F12" s="11" t="s">
        <v>131</v>
      </c>
      <c r="G12" s="20">
        <v>45784</v>
      </c>
      <c r="H12" s="20">
        <v>45821</v>
      </c>
      <c r="I12" s="25" t="s">
        <v>171</v>
      </c>
    </row>
    <row r="13" spans="2:9" ht="154.5" customHeight="1" x14ac:dyDescent="0.25">
      <c r="B13" s="11">
        <v>5</v>
      </c>
      <c r="C13" s="11" t="s">
        <v>232</v>
      </c>
      <c r="D13" s="11" t="s">
        <v>31</v>
      </c>
      <c r="E13" s="11" t="s">
        <v>233</v>
      </c>
      <c r="F13" s="11" t="s">
        <v>133</v>
      </c>
      <c r="G13" s="20">
        <v>45791</v>
      </c>
      <c r="H13" s="20">
        <v>45807</v>
      </c>
      <c r="I13" s="20"/>
    </row>
    <row r="14" spans="2:9" ht="154.5" customHeight="1" x14ac:dyDescent="0.25">
      <c r="B14" s="11">
        <v>6</v>
      </c>
      <c r="C14" s="11" t="s">
        <v>234</v>
      </c>
      <c r="D14" s="11" t="s">
        <v>32</v>
      </c>
      <c r="E14" s="11" t="s">
        <v>235</v>
      </c>
      <c r="F14" s="11" t="s">
        <v>134</v>
      </c>
      <c r="G14" s="21">
        <v>45782</v>
      </c>
      <c r="H14" s="20">
        <v>45818</v>
      </c>
      <c r="I14" s="11"/>
    </row>
    <row r="17" spans="7:8" x14ac:dyDescent="0.25">
      <c r="G17" s="160"/>
      <c r="H17" s="160"/>
    </row>
  </sheetData>
  <autoFilter ref="A3:I3" xr:uid="{00000000-0001-0000-0000-000000000000}"/>
  <mergeCells count="7">
    <mergeCell ref="B10:B12"/>
    <mergeCell ref="C10:C12"/>
    <mergeCell ref="B2:I2"/>
    <mergeCell ref="B4:B6"/>
    <mergeCell ref="C4:C6"/>
    <mergeCell ref="B7:B8"/>
    <mergeCell ref="C7:C8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E3D8B3-A8E7-4B54-BAC2-6A09ED80C9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HTMLTemplate</vt:lpstr>
      <vt:lpstr>Consolidado</vt:lpstr>
      <vt:lpstr>Planos de ação</vt:lpstr>
      <vt:lpstr>Contábil Renuncia</vt:lpstr>
      <vt:lpstr>Precatórios</vt:lpstr>
      <vt:lpstr>Restos a Pagar</vt:lpstr>
      <vt:lpstr>GT Imobilizado</vt:lpstr>
      <vt:lpstr>GT Intangível</vt:lpstr>
      <vt:lpstr>Dívida Ativa</vt:lpstr>
      <vt:lpstr>'Contábil Renuncia'!Area_de_impressao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Vieira Cardoso</dc:creator>
  <cp:lastModifiedBy>Pedro Henrique Vieira Cardoso</cp:lastModifiedBy>
  <dcterms:created xsi:type="dcterms:W3CDTF">2025-08-19T18:29:54Z</dcterms:created>
  <dcterms:modified xsi:type="dcterms:W3CDTF">2025-08-29T13:03:31Z</dcterms:modified>
</cp:coreProperties>
</file>